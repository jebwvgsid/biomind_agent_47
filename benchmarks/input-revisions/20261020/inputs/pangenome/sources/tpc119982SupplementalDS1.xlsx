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030"/>
  <workbookPr date1904="1" showInkAnnotation="0" autoCompressPictures="0"/>
  <bookViews>
    <workbookView xWindow="2700" yWindow="0" windowWidth="25580" windowHeight="1602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13" i="1" l="1"/>
  <c r="O98" i="1"/>
  <c r="O212" i="1"/>
  <c r="O210" i="1"/>
  <c r="O378" i="1"/>
  <c r="O20" i="1"/>
  <c r="O23" i="1"/>
  <c r="O396" i="1"/>
  <c r="O373" i="1"/>
  <c r="O66" i="1"/>
  <c r="O92" i="1"/>
  <c r="O275" i="1"/>
  <c r="O219" i="1"/>
  <c r="O140" i="1"/>
  <c r="O218" i="1"/>
  <c r="O17" i="1"/>
  <c r="O276" i="1"/>
  <c r="O33" i="1"/>
  <c r="O145" i="1"/>
  <c r="O117" i="1"/>
  <c r="O397" i="1"/>
  <c r="O18" i="1"/>
  <c r="O389" i="1"/>
  <c r="O25" i="1"/>
  <c r="O13" i="1"/>
  <c r="O22" i="1"/>
  <c r="O217" i="1"/>
  <c r="O379" i="1"/>
  <c r="O24" i="1"/>
  <c r="O19" i="1"/>
  <c r="O461" i="1"/>
  <c r="O160" i="1"/>
  <c r="O327" i="1"/>
  <c r="O176" i="1"/>
  <c r="O234" i="1"/>
  <c r="O255" i="1"/>
  <c r="O126" i="1"/>
  <c r="O167" i="1"/>
  <c r="O254" i="1"/>
  <c r="O268" i="1"/>
  <c r="O460" i="1"/>
  <c r="O116" i="1"/>
  <c r="O499" i="1"/>
  <c r="O169" i="1"/>
  <c r="O15" i="1"/>
  <c r="O415" i="1"/>
  <c r="O453" i="1"/>
  <c r="O209" i="1"/>
  <c r="O258" i="1"/>
  <c r="O103" i="1"/>
  <c r="O338" i="1"/>
  <c r="O257" i="1"/>
  <c r="O168" i="1"/>
  <c r="O495" i="1"/>
  <c r="O245" i="1"/>
  <c r="O114" i="1"/>
  <c r="O416" i="1"/>
  <c r="O484" i="1"/>
  <c r="O135" i="1"/>
  <c r="O387" i="1"/>
  <c r="O356" i="1"/>
  <c r="O29" i="1"/>
  <c r="O420" i="1"/>
  <c r="O101" i="1"/>
  <c r="O266" i="1"/>
  <c r="O121" i="1"/>
  <c r="O406" i="1"/>
  <c r="O299" i="1"/>
  <c r="O215" i="1"/>
  <c r="O26" i="1"/>
  <c r="O93" i="1"/>
  <c r="O408" i="1"/>
  <c r="O407" i="1"/>
  <c r="O220" i="1"/>
  <c r="O362" i="1"/>
  <c r="O44" i="1"/>
  <c r="O463" i="1"/>
  <c r="O104" i="1"/>
  <c r="O491" i="1"/>
  <c r="O286" i="1"/>
  <c r="O391" i="1"/>
  <c r="O246" i="1"/>
  <c r="O449" i="1"/>
  <c r="O4" i="1"/>
  <c r="O447" i="1"/>
  <c r="O269" i="1"/>
  <c r="O166" i="1"/>
  <c r="O181" i="1"/>
  <c r="O450" i="1"/>
  <c r="O110" i="1"/>
  <c r="O422" i="1"/>
  <c r="O237" i="1"/>
  <c r="O42" i="1"/>
  <c r="O165" i="1"/>
  <c r="O302" i="1"/>
  <c r="O244" i="1"/>
  <c r="O419" i="1"/>
  <c r="O466" i="1"/>
  <c r="O489" i="1"/>
  <c r="O129" i="1"/>
  <c r="O162" i="1"/>
  <c r="O472" i="1"/>
  <c r="O471" i="1"/>
  <c r="O6" i="1"/>
  <c r="O232" i="1"/>
  <c r="O10" i="1"/>
  <c r="O105" i="1"/>
  <c r="O11" i="1"/>
  <c r="O448" i="1"/>
  <c r="O131" i="1"/>
  <c r="O170" i="1"/>
  <c r="O248" i="1"/>
  <c r="O485" i="1"/>
  <c r="O12" i="1"/>
  <c r="O128" i="1"/>
  <c r="O506" i="1"/>
  <c r="O125" i="1"/>
  <c r="O112" i="1"/>
  <c r="O139" i="1"/>
  <c r="O8" i="1"/>
  <c r="O106" i="1"/>
  <c r="O271" i="1"/>
  <c r="O133" i="1"/>
  <c r="O149" i="1"/>
  <c r="O122" i="1"/>
  <c r="O256" i="1"/>
  <c r="O392" i="1"/>
  <c r="O21" i="1"/>
  <c r="O164" i="1"/>
  <c r="O130" i="1"/>
  <c r="O94" i="1"/>
  <c r="O9" i="1"/>
  <c r="O270" i="1"/>
  <c r="O410" i="1"/>
  <c r="O7" i="1"/>
  <c r="O385" i="1"/>
  <c r="O398" i="1"/>
  <c r="O405" i="1"/>
  <c r="O14" i="1"/>
  <c r="O267" i="1"/>
  <c r="O107" i="1"/>
  <c r="O488" i="1"/>
  <c r="O16" i="1"/>
  <c r="O483" i="1"/>
  <c r="O493" i="1"/>
  <c r="O35" i="1"/>
  <c r="O307" i="1"/>
  <c r="O171" i="1"/>
  <c r="O199" i="1"/>
  <c r="O80" i="1"/>
  <c r="O151" i="1"/>
  <c r="O311" i="1"/>
  <c r="O325" i="1"/>
  <c r="O287" i="1"/>
  <c r="O260" i="1"/>
  <c r="O157" i="1"/>
  <c r="O150" i="1"/>
  <c r="O184" i="1"/>
  <c r="O301" i="1"/>
  <c r="O308" i="1"/>
  <c r="O451" i="1"/>
  <c r="O326" i="1"/>
  <c r="O481" i="1"/>
  <c r="O329" i="1"/>
  <c r="O501" i="1"/>
  <c r="O84" i="1"/>
  <c r="O335" i="1"/>
  <c r="O127" i="1"/>
  <c r="O143" i="1"/>
  <c r="O208" i="1"/>
  <c r="O81" i="1"/>
  <c r="O156" i="1"/>
  <c r="O186" i="1"/>
  <c r="O183" i="1"/>
  <c r="O294" i="1"/>
  <c r="O178" i="1"/>
  <c r="O38" i="1"/>
  <c r="O177" i="1"/>
  <c r="O48" i="1"/>
  <c r="O193" i="1"/>
  <c r="O503" i="1"/>
  <c r="O494" i="1"/>
  <c r="O328" i="1"/>
  <c r="O124" i="1"/>
  <c r="O348" i="1"/>
  <c r="O85" i="1"/>
  <c r="O77" i="1"/>
  <c r="O482" i="1"/>
  <c r="O344" i="1"/>
  <c r="O180" i="1"/>
  <c r="O54" i="1"/>
  <c r="O355" i="1"/>
  <c r="O371" i="1"/>
  <c r="O321" i="1"/>
  <c r="O187" i="1"/>
  <c r="O28" i="1"/>
  <c r="O324" i="1"/>
  <c r="O27" i="1"/>
  <c r="O288" i="1"/>
  <c r="O349" i="1"/>
  <c r="O52" i="1"/>
  <c r="O280" i="1"/>
  <c r="O56" i="1"/>
  <c r="O292" i="1"/>
  <c r="O264" i="1"/>
  <c r="O49" i="1"/>
  <c r="O352" i="1"/>
  <c r="O73" i="1"/>
  <c r="O319" i="1"/>
  <c r="O153" i="1"/>
  <c r="O158" i="1"/>
  <c r="O457" i="1"/>
  <c r="O159" i="1"/>
  <c r="O310" i="1"/>
  <c r="O236" i="1"/>
  <c r="O478" i="1"/>
  <c r="O490" i="1"/>
  <c r="O179" i="1"/>
  <c r="O435" i="1"/>
  <c r="O502" i="1"/>
  <c r="O141" i="1"/>
  <c r="O63" i="1"/>
  <c r="O142" i="1"/>
  <c r="O194" i="1"/>
  <c r="O496" i="1"/>
  <c r="O57" i="1"/>
  <c r="O132" i="1"/>
  <c r="O274" i="1"/>
  <c r="O147" i="1"/>
  <c r="O161" i="1"/>
  <c r="O278" i="1"/>
  <c r="O249" i="1"/>
  <c r="O285" i="1"/>
  <c r="O74" i="1"/>
  <c r="O32" i="1"/>
  <c r="O62" i="1"/>
  <c r="O500" i="1"/>
  <c r="O492" i="1"/>
  <c r="O192" i="1"/>
  <c r="O505" i="1"/>
  <c r="O197" i="1"/>
  <c r="O504" i="1"/>
  <c r="O240" i="1"/>
  <c r="O138" i="1"/>
  <c r="O235" i="1"/>
  <c r="O40" i="1"/>
  <c r="O144" i="1"/>
  <c r="O233" i="1"/>
  <c r="O455" i="1"/>
  <c r="O154" i="1"/>
  <c r="O239" i="1"/>
  <c r="O479" i="1"/>
  <c r="O459" i="1"/>
  <c r="O231" i="1"/>
  <c r="O37" i="1"/>
  <c r="O439" i="1"/>
  <c r="O175" i="1"/>
  <c r="O452" i="1"/>
  <c r="O456" i="1"/>
  <c r="O440" i="1"/>
  <c r="O433" i="1"/>
  <c r="O221" i="1"/>
  <c r="O115" i="1"/>
  <c r="O47" i="1"/>
  <c r="O434" i="1"/>
  <c r="O109" i="1"/>
  <c r="O227" i="1"/>
  <c r="O464" i="1"/>
  <c r="O431" i="1"/>
  <c r="O174" i="1"/>
  <c r="O441" i="1"/>
  <c r="O100" i="1"/>
  <c r="O223" i="1"/>
  <c r="O437" i="1"/>
  <c r="O442" i="1"/>
  <c r="O82" i="1"/>
  <c r="O45" i="1"/>
  <c r="O438" i="1"/>
  <c r="O470" i="1"/>
  <c r="O436" i="1"/>
  <c r="O273" i="1"/>
  <c r="O432" i="1"/>
  <c r="O228" i="1"/>
  <c r="O152" i="1"/>
  <c r="O444" i="1"/>
  <c r="O446" i="1"/>
  <c r="O469" i="1"/>
  <c r="O230" i="1"/>
  <c r="O443" i="1"/>
  <c r="O429" i="1"/>
  <c r="O119" i="1"/>
  <c r="O226" i="1"/>
  <c r="O486" i="1"/>
  <c r="O30" i="1"/>
  <c r="O118" i="1"/>
  <c r="O473" i="1"/>
  <c r="O430" i="1"/>
  <c r="O454" i="1"/>
  <c r="O476" i="1"/>
  <c r="O272" i="1"/>
  <c r="O216" i="1"/>
  <c r="O136" i="1"/>
  <c r="O108" i="1"/>
  <c r="O458" i="1"/>
  <c r="O413" i="1"/>
  <c r="O95" i="1"/>
  <c r="O83" i="1"/>
  <c r="O102" i="1"/>
  <c r="O172" i="1"/>
  <c r="O487" i="1"/>
  <c r="O477" i="1"/>
  <c r="O330" i="1"/>
  <c r="O185" i="1"/>
  <c r="O350" i="1"/>
  <c r="O304" i="1"/>
  <c r="O315" i="1"/>
  <c r="O312" i="1"/>
  <c r="O357" i="1"/>
  <c r="O68" i="1"/>
  <c r="O393" i="1"/>
  <c r="O403" i="1"/>
  <c r="O36" i="1"/>
  <c r="O247" i="1"/>
  <c r="O342" i="1"/>
  <c r="O296" i="1"/>
  <c r="O163" i="1"/>
  <c r="O203" i="1"/>
  <c r="O367" i="1"/>
  <c r="O380" i="1"/>
  <c r="O90" i="1"/>
  <c r="O426" i="1"/>
  <c r="O317" i="1"/>
  <c r="O71" i="1"/>
  <c r="O359" i="1"/>
  <c r="O41" i="1"/>
  <c r="O190" i="1"/>
  <c r="O320" i="1"/>
  <c r="O205" i="1"/>
  <c r="O323" i="1"/>
  <c r="O243" i="1"/>
  <c r="O411" i="1"/>
  <c r="O337" i="1"/>
  <c r="O318" i="1"/>
  <c r="O309" i="1"/>
  <c r="O382" i="1"/>
  <c r="O428" i="1"/>
  <c r="O313" i="1"/>
  <c r="O331" i="1"/>
  <c r="O421" i="1"/>
  <c r="O303" i="1"/>
  <c r="O97" i="1"/>
  <c r="O402" i="1"/>
  <c r="O370" i="1"/>
  <c r="O388" i="1"/>
  <c r="O316" i="1"/>
  <c r="O404" i="1"/>
  <c r="O300" i="1"/>
  <c r="O401" i="1"/>
  <c r="O53" i="1"/>
  <c r="O5" i="1"/>
  <c r="O295" i="1"/>
  <c r="O281" i="1"/>
  <c r="O261" i="1"/>
  <c r="O332" i="1"/>
  <c r="O55" i="1"/>
  <c r="O51" i="1"/>
  <c r="O253" i="1"/>
  <c r="O58" i="1"/>
  <c r="O289" i="1"/>
  <c r="O284" i="1"/>
  <c r="O291" i="1"/>
  <c r="O297" i="1"/>
  <c r="O43" i="1"/>
  <c r="O61" i="1"/>
  <c r="O282" i="1"/>
  <c r="O59" i="1"/>
  <c r="O265" i="1"/>
  <c r="O191" i="1"/>
  <c r="O293" i="1"/>
  <c r="O64" i="1"/>
  <c r="O50" i="1"/>
  <c r="O86" i="1"/>
  <c r="O283" i="1"/>
  <c r="O290" i="1"/>
  <c r="O474" i="1"/>
  <c r="O347" i="1"/>
  <c r="O364" i="1"/>
  <c r="O111" i="1"/>
  <c r="O279" i="1"/>
  <c r="O39" i="1"/>
  <c r="O60" i="1"/>
  <c r="O467" i="1"/>
  <c r="O475" i="1"/>
  <c r="O225" i="1"/>
  <c r="O468" i="1"/>
  <c r="O120" i="1"/>
  <c r="O480" i="1"/>
  <c r="O46" i="1"/>
  <c r="O224" i="1"/>
  <c r="O222" i="1"/>
  <c r="O123" i="1"/>
  <c r="O263" i="1"/>
  <c r="O445" i="1"/>
  <c r="O251" i="1"/>
  <c r="O31" i="1"/>
  <c r="O89" i="1"/>
  <c r="O229" i="1"/>
  <c r="O465" i="1"/>
  <c r="O200" i="1"/>
  <c r="O360" i="1"/>
  <c r="O462" i="1"/>
  <c r="O262" i="1"/>
  <c r="O155" i="1"/>
  <c r="O146" i="1"/>
  <c r="O250" i="1"/>
  <c r="O343" i="1"/>
  <c r="O195" i="1"/>
  <c r="O259" i="1"/>
  <c r="O252" i="1"/>
  <c r="O497" i="1"/>
  <c r="O173" i="1"/>
  <c r="O334" i="1"/>
  <c r="O70" i="1"/>
  <c r="O134" i="1"/>
  <c r="O277" i="1"/>
  <c r="O148" i="1"/>
  <c r="O137" i="1"/>
  <c r="O498" i="1"/>
  <c r="O238" i="1"/>
  <c r="O418" i="1"/>
  <c r="O76" i="1"/>
  <c r="O67" i="1"/>
  <c r="O412" i="1"/>
  <c r="O99" i="1"/>
  <c r="O351" i="1"/>
  <c r="O374" i="1"/>
  <c r="O372" i="1"/>
  <c r="O214" i="1"/>
  <c r="O75" i="1"/>
  <c r="O87" i="1"/>
  <c r="O188" i="1"/>
  <c r="O79" i="1"/>
  <c r="O314" i="1"/>
  <c r="O69" i="1"/>
  <c r="O242" i="1"/>
  <c r="O369" i="1"/>
  <c r="O424" i="1"/>
  <c r="O363" i="1"/>
  <c r="O377" i="1"/>
  <c r="O305" i="1"/>
  <c r="O384" i="1"/>
  <c r="O341" i="1"/>
  <c r="O340" i="1"/>
  <c r="O383" i="1"/>
  <c r="O322" i="1"/>
  <c r="O213" i="1"/>
  <c r="O353" i="1"/>
  <c r="O427" i="1"/>
  <c r="O88" i="1"/>
  <c r="O204" i="1"/>
  <c r="O207" i="1"/>
  <c r="O375" i="1"/>
  <c r="O414" i="1"/>
  <c r="O425" i="1"/>
  <c r="O241" i="1"/>
  <c r="O78" i="1"/>
  <c r="O390" i="1"/>
  <c r="O189" i="1"/>
  <c r="O198" i="1"/>
  <c r="O34" i="1"/>
  <c r="O365" i="1"/>
  <c r="O333" i="1"/>
  <c r="O306" i="1"/>
  <c r="O339" i="1"/>
  <c r="O409" i="1"/>
  <c r="O381" i="1"/>
  <c r="O202" i="1"/>
  <c r="O354" i="1"/>
  <c r="O361" i="1"/>
  <c r="O65" i="1"/>
  <c r="O395" i="1"/>
  <c r="O417" i="1"/>
  <c r="O400" i="1"/>
  <c r="O366" i="1"/>
  <c r="O376" i="1"/>
  <c r="O96" i="1"/>
  <c r="O345" i="1"/>
  <c r="O394" i="1"/>
  <c r="O346" i="1"/>
  <c r="O211" i="1"/>
  <c r="O386" i="1"/>
  <c r="O336" i="1"/>
  <c r="O91" i="1"/>
  <c r="O423" i="1"/>
  <c r="O358" i="1"/>
  <c r="O368" i="1"/>
  <c r="O182" i="1"/>
  <c r="O72" i="1"/>
  <c r="O201" i="1"/>
  <c r="O399" i="1"/>
  <c r="O206" i="1"/>
  <c r="O196" i="1"/>
  <c r="O298" i="1"/>
</calcChain>
</file>

<file path=xl/sharedStrings.xml><?xml version="1.0" encoding="utf-8"?>
<sst xmlns="http://schemas.openxmlformats.org/spreadsheetml/2006/main" count="2477" uniqueCount="981">
  <si>
    <t>A632</t>
  </si>
  <si>
    <t>T9</t>
  </si>
  <si>
    <t>A635</t>
  </si>
  <si>
    <t>A661</t>
  </si>
  <si>
    <t>B104</t>
  </si>
  <si>
    <t>B109</t>
  </si>
  <si>
    <t>W816G</t>
  </si>
  <si>
    <t>C123</t>
  </si>
  <si>
    <t>H84</t>
  </si>
  <si>
    <t>W606S</t>
  </si>
  <si>
    <t>Va52</t>
  </si>
  <si>
    <t>CO106</t>
  </si>
  <si>
    <t>CI187-2</t>
  </si>
  <si>
    <t>Genotype</t>
  </si>
  <si>
    <t>A797NW</t>
  </si>
  <si>
    <t>ND101</t>
  </si>
  <si>
    <t>B52</t>
  </si>
  <si>
    <t>B103</t>
  </si>
  <si>
    <t>B105</t>
  </si>
  <si>
    <t>W701BC</t>
  </si>
  <si>
    <t>W817G</t>
  </si>
  <si>
    <t>CML 323</t>
  </si>
  <si>
    <t>A239</t>
  </si>
  <si>
    <t>B79</t>
  </si>
  <si>
    <t>W802G</t>
  </si>
  <si>
    <t>C103</t>
  </si>
  <si>
    <t>CM105</t>
  </si>
  <si>
    <t>B164</t>
  </si>
  <si>
    <t>U267Y</t>
  </si>
  <si>
    <t>SD40</t>
  </si>
  <si>
    <t>CML 444</t>
  </si>
  <si>
    <t>T232</t>
  </si>
  <si>
    <t>NC344</t>
  </si>
  <si>
    <t>M162W</t>
  </si>
  <si>
    <t>CML 376</t>
  </si>
  <si>
    <t>M14</t>
  </si>
  <si>
    <t>Ky228</t>
  </si>
  <si>
    <t>K148</t>
  </si>
  <si>
    <t>CML 161</t>
  </si>
  <si>
    <t>Mo24W</t>
  </si>
  <si>
    <t>NC356</t>
  </si>
  <si>
    <t>CML 197</t>
  </si>
  <si>
    <t>L317</t>
  </si>
  <si>
    <t>W117Ht</t>
  </si>
  <si>
    <t>HP301</t>
  </si>
  <si>
    <t>CML 488</t>
  </si>
  <si>
    <t>K64</t>
  </si>
  <si>
    <t>CML 264</t>
  </si>
  <si>
    <t>R4</t>
  </si>
  <si>
    <t>W64A</t>
  </si>
  <si>
    <t>W22</t>
  </si>
  <si>
    <t>NC358</t>
  </si>
  <si>
    <t>NC342</t>
  </si>
  <si>
    <t>CML 176</t>
  </si>
  <si>
    <t>W601S</t>
  </si>
  <si>
    <t>Oh40B</t>
  </si>
  <si>
    <t>Va102</t>
  </si>
  <si>
    <t>Va85</t>
  </si>
  <si>
    <t>CML 251</t>
  </si>
  <si>
    <t>SD44</t>
  </si>
  <si>
    <t>P39</t>
  </si>
  <si>
    <t>H14</t>
  </si>
  <si>
    <t>LH39</t>
  </si>
  <si>
    <t>LH61</t>
  </si>
  <si>
    <t>B108</t>
  </si>
  <si>
    <t>MS106</t>
  </si>
  <si>
    <t>CL18</t>
  </si>
  <si>
    <t>B85</t>
  </si>
  <si>
    <t>MS223</t>
  </si>
  <si>
    <t>B66</t>
  </si>
  <si>
    <t>CH157</t>
  </si>
  <si>
    <t>CO158</t>
  </si>
  <si>
    <t>Mo28W</t>
  </si>
  <si>
    <t>C68</t>
  </si>
  <si>
    <t>CH753-4</t>
  </si>
  <si>
    <t>B42</t>
  </si>
  <si>
    <t>CG10</t>
  </si>
  <si>
    <t>MS221</t>
  </si>
  <si>
    <t>H52</t>
  </si>
  <si>
    <t>H121</t>
  </si>
  <si>
    <t>CO257</t>
  </si>
  <si>
    <t>A673</t>
  </si>
  <si>
    <t>CO245</t>
  </si>
  <si>
    <t>Il778d</t>
  </si>
  <si>
    <t>K47</t>
  </si>
  <si>
    <t>LH82</t>
  </si>
  <si>
    <t>Ki21</t>
  </si>
  <si>
    <t>B112</t>
  </si>
  <si>
    <t>B8</t>
  </si>
  <si>
    <t>B88</t>
  </si>
  <si>
    <t>B113</t>
  </si>
  <si>
    <t>B106</t>
  </si>
  <si>
    <t>CL17</t>
  </si>
  <si>
    <t>R78</t>
  </si>
  <si>
    <t>T146</t>
  </si>
  <si>
    <t>CM48</t>
  </si>
  <si>
    <t>N197</t>
  </si>
  <si>
    <t>CG106</t>
  </si>
  <si>
    <t>LH59</t>
  </si>
  <si>
    <t>Mo30W</t>
  </si>
  <si>
    <t>ND265</t>
  </si>
  <si>
    <t>ND167</t>
  </si>
  <si>
    <t>W37A</t>
  </si>
  <si>
    <t>N28</t>
  </si>
  <si>
    <t>NC412</t>
  </si>
  <si>
    <t>R71</t>
  </si>
  <si>
    <t>ND247</t>
  </si>
  <si>
    <t>MS225</t>
  </si>
  <si>
    <t>R181B</t>
  </si>
  <si>
    <t>Pa891</t>
  </si>
  <si>
    <t>PHG39</t>
  </si>
  <si>
    <t>T141</t>
  </si>
  <si>
    <t>PHW17</t>
  </si>
  <si>
    <t>PHG47</t>
  </si>
  <si>
    <t>MS224</t>
  </si>
  <si>
    <t>N538</t>
  </si>
  <si>
    <t>R226</t>
  </si>
  <si>
    <t>PHV63</t>
  </si>
  <si>
    <t>NC13</t>
  </si>
  <si>
    <t>N542</t>
  </si>
  <si>
    <t>W803G</t>
  </si>
  <si>
    <t>R113</t>
  </si>
  <si>
    <t>plate7</t>
  </si>
  <si>
    <t>plate4</t>
  </si>
  <si>
    <t>plate1</t>
    <phoneticPr fontId="3" type="noConversion"/>
  </si>
  <si>
    <t>plant1,2,3,4,5,6,7</t>
    <phoneticPr fontId="3" type="noConversion"/>
  </si>
  <si>
    <t>yes</t>
    <phoneticPr fontId="3" type="noConversion"/>
  </si>
  <si>
    <t>no</t>
    <phoneticPr fontId="3" type="noConversion"/>
  </si>
  <si>
    <t>yes</t>
    <phoneticPr fontId="3" type="noConversion"/>
  </si>
  <si>
    <t>plate1,2,3,4,5,7</t>
    <phoneticPr fontId="3" type="noConversion"/>
  </si>
  <si>
    <t>Total Mapped to Genome</t>
    <phoneticPr fontId="3" type="noConversion"/>
  </si>
  <si>
    <t>Unmapped to Genome</t>
    <phoneticPr fontId="3" type="noConversion"/>
  </si>
  <si>
    <t>Unique Mapped to Genome</t>
    <phoneticPr fontId="3" type="noConversion"/>
  </si>
  <si>
    <t>Duplicate Mapped to Genome</t>
    <phoneticPr fontId="3" type="noConversion"/>
  </si>
  <si>
    <t>MS132</t>
  </si>
  <si>
    <t>H96</t>
  </si>
  <si>
    <t>Hi26</t>
  </si>
  <si>
    <t>Mo44</t>
  </si>
  <si>
    <t>Mo3</t>
  </si>
  <si>
    <t>B91</t>
  </si>
  <si>
    <t>Mo7</t>
  </si>
  <si>
    <t>Total Reads</t>
    <phoneticPr fontId="3" type="noConversion"/>
  </si>
  <si>
    <t>Total Reads After Spike-In sequences Removed</t>
    <phoneticPr fontId="3" type="noConversion"/>
  </si>
  <si>
    <t>Unique Mapped to Genome plus Assembly</t>
  </si>
  <si>
    <t>Duplicate Mapped to Genome plus Assembly</t>
  </si>
  <si>
    <t>Total Mapped to Genome plus Assembly</t>
  </si>
  <si>
    <t>Unmapped to Genome plus Assembly</t>
  </si>
  <si>
    <t>Percent Exrta Mapped</t>
    <phoneticPr fontId="3" type="noConversion"/>
  </si>
  <si>
    <t>Sequencing Plate</t>
    <phoneticPr fontId="3" type="noConversion"/>
  </si>
  <si>
    <t>In WiDiv</t>
    <phoneticPr fontId="3" type="noConversion"/>
  </si>
  <si>
    <t>Individual Assembly</t>
    <phoneticPr fontId="3" type="noConversion"/>
  </si>
  <si>
    <t>no</t>
  </si>
  <si>
    <t>yes</t>
  </si>
  <si>
    <t>NA</t>
  </si>
  <si>
    <t>plate1</t>
  </si>
  <si>
    <t>plate2</t>
  </si>
  <si>
    <t>plate3</t>
  </si>
  <si>
    <t>plate5</t>
  </si>
  <si>
    <t>plate6</t>
  </si>
  <si>
    <t>SD107</t>
  </si>
  <si>
    <t>CML 505</t>
  </si>
  <si>
    <t>CML 465</t>
  </si>
  <si>
    <t>I205</t>
  </si>
  <si>
    <t>LH149</t>
  </si>
  <si>
    <t>Mo17</t>
  </si>
  <si>
    <t>Oh43</t>
  </si>
  <si>
    <t>B121</t>
  </si>
  <si>
    <t>CG108</t>
  </si>
  <si>
    <t>F431</t>
  </si>
  <si>
    <t>B37</t>
  </si>
  <si>
    <t>CI31A</t>
  </si>
  <si>
    <t>CM99</t>
  </si>
  <si>
    <t>B54</t>
  </si>
  <si>
    <t>B101</t>
  </si>
  <si>
    <t>H122w</t>
  </si>
  <si>
    <t>F115</t>
  </si>
  <si>
    <t>MS12</t>
  </si>
  <si>
    <t>H71</t>
  </si>
  <si>
    <t>CO117</t>
  </si>
  <si>
    <t>K150</t>
  </si>
  <si>
    <t>LH145</t>
  </si>
  <si>
    <t>DE3</t>
  </si>
  <si>
    <t>KO679Y</t>
  </si>
  <si>
    <t>CSJ3</t>
  </si>
  <si>
    <t>LH60</t>
  </si>
  <si>
    <t>HUANYAO</t>
  </si>
  <si>
    <t>H114</t>
  </si>
  <si>
    <t>LH123HT</t>
  </si>
  <si>
    <t>Mo5</t>
  </si>
  <si>
    <t>KUNG-70</t>
  </si>
  <si>
    <t>A73</t>
  </si>
  <si>
    <t>G80</t>
  </si>
  <si>
    <t>CO256</t>
  </si>
  <si>
    <t>Mo23W</t>
  </si>
  <si>
    <t>CO216</t>
  </si>
  <si>
    <t>B115</t>
  </si>
  <si>
    <t>CL27</t>
  </si>
  <si>
    <t>H113</t>
  </si>
  <si>
    <t>CG65</t>
  </si>
  <si>
    <t>B119</t>
  </si>
  <si>
    <t>K41</t>
  </si>
  <si>
    <t>B99</t>
  </si>
  <si>
    <t>C15</t>
  </si>
  <si>
    <t>MS211</t>
  </si>
  <si>
    <t>Mo39</t>
  </si>
  <si>
    <t>Hi28</t>
  </si>
  <si>
    <t>FR19</t>
  </si>
  <si>
    <t>CO258</t>
  </si>
  <si>
    <t>DKMFD-13D</t>
  </si>
  <si>
    <t>MS222</t>
  </si>
  <si>
    <t>LP5</t>
  </si>
  <si>
    <t>CO236</t>
  </si>
  <si>
    <t>CO237</t>
  </si>
  <si>
    <t>B114</t>
  </si>
  <si>
    <t>HUOBAI</t>
  </si>
  <si>
    <t>GE54</t>
  </si>
  <si>
    <t>MS142</t>
  </si>
  <si>
    <t>H124w</t>
  </si>
  <si>
    <t>C42</t>
  </si>
  <si>
    <t>B120</t>
  </si>
  <si>
    <t>B87</t>
  </si>
  <si>
    <t>C102</t>
  </si>
  <si>
    <t>B111</t>
  </si>
  <si>
    <t>B90</t>
  </si>
  <si>
    <t>W818G</t>
  </si>
  <si>
    <t>WU-TAN-TZAO</t>
  </si>
  <si>
    <t>W552</t>
  </si>
  <si>
    <t>W612S</t>
  </si>
  <si>
    <t>33-16</t>
  </si>
  <si>
    <t>W153R</t>
  </si>
  <si>
    <t>NC230</t>
  </si>
  <si>
    <t>CML 216</t>
  </si>
  <si>
    <t>NC318</t>
  </si>
  <si>
    <t>CML 202</t>
  </si>
  <si>
    <t>R229</t>
  </si>
  <si>
    <t>CML 144</t>
  </si>
  <si>
    <t>R168</t>
  </si>
  <si>
    <t>R177</t>
  </si>
  <si>
    <t>Va99</t>
  </si>
  <si>
    <t>T234</t>
  </si>
  <si>
    <t>Pa880</t>
  </si>
  <si>
    <t>Ia5125B</t>
  </si>
  <si>
    <t>B107</t>
  </si>
  <si>
    <t>HP72-11</t>
  </si>
  <si>
    <t>I159</t>
  </si>
  <si>
    <t>W813G</t>
  </si>
  <si>
    <t>MS116</t>
  </si>
  <si>
    <t>ND283</t>
  </si>
  <si>
    <t>NC236</t>
  </si>
  <si>
    <t>B10</t>
  </si>
  <si>
    <t>I29</t>
  </si>
  <si>
    <t>NC340</t>
  </si>
  <si>
    <t>NC222</t>
  </si>
  <si>
    <t>A340</t>
  </si>
  <si>
    <t>NC232</t>
  </si>
  <si>
    <t>Il14H</t>
  </si>
  <si>
    <t>K55</t>
  </si>
  <si>
    <t>A208</t>
  </si>
  <si>
    <t>Tx303</t>
  </si>
  <si>
    <t>NC264</t>
  </si>
  <si>
    <t>Oh7B</t>
  </si>
  <si>
    <t>PHG50</t>
  </si>
  <si>
    <t>GE129</t>
  </si>
  <si>
    <t>NC250</t>
  </si>
  <si>
    <t>MEF156-55-2</t>
  </si>
  <si>
    <t>Mo15W</t>
  </si>
  <si>
    <t>Hy</t>
  </si>
  <si>
    <t>MS153</t>
  </si>
  <si>
    <t>AR228</t>
  </si>
  <si>
    <t>M37W</t>
  </si>
  <si>
    <t>PHZ51</t>
  </si>
  <si>
    <t>Ki43</t>
  </si>
  <si>
    <t>Mt42</t>
  </si>
  <si>
    <t>Mp339</t>
  </si>
  <si>
    <t>Pa405</t>
  </si>
  <si>
    <t>K155</t>
  </si>
  <si>
    <t>W32</t>
  </si>
  <si>
    <t>SD42</t>
  </si>
  <si>
    <t>Mo47</t>
  </si>
  <si>
    <t>Os420</t>
  </si>
  <si>
    <t>VaW6</t>
  </si>
  <si>
    <t>NP87</t>
  </si>
  <si>
    <t>CML 277</t>
  </si>
  <si>
    <t>CO192</t>
  </si>
  <si>
    <t>N6</t>
  </si>
  <si>
    <t>CML 287</t>
  </si>
  <si>
    <t>H91</t>
  </si>
  <si>
    <t>ND246</t>
  </si>
  <si>
    <t>Mo45</t>
  </si>
  <si>
    <t>CML 421</t>
  </si>
  <si>
    <t>WXB6</t>
  </si>
  <si>
    <t>Pa762</t>
  </si>
  <si>
    <t>NY6371</t>
  </si>
  <si>
    <t>NC298</t>
  </si>
  <si>
    <t>CML 247</t>
  </si>
  <si>
    <t>IDS69</t>
  </si>
  <si>
    <t>Va14</t>
  </si>
  <si>
    <t>CML 254</t>
  </si>
  <si>
    <t>W809G</t>
  </si>
  <si>
    <t>WD</t>
  </si>
  <si>
    <t>OC19</t>
  </si>
  <si>
    <t>CML 456</t>
  </si>
  <si>
    <t>CML 509</t>
  </si>
  <si>
    <t>IDS28</t>
  </si>
  <si>
    <t>N28E</t>
  </si>
  <si>
    <t>CML 491</t>
  </si>
  <si>
    <t>CML 312</t>
  </si>
  <si>
    <t xml:space="preserve">CML 511 </t>
  </si>
  <si>
    <t>K4</t>
  </si>
  <si>
    <t>CML 451</t>
  </si>
  <si>
    <t>Ky226</t>
  </si>
  <si>
    <t>Pa778</t>
  </si>
  <si>
    <t>W608S</t>
  </si>
  <si>
    <t>FC46</t>
  </si>
  <si>
    <t>04033V</t>
  </si>
  <si>
    <t>CML 448</t>
  </si>
  <si>
    <t>N28Ht</t>
  </si>
  <si>
    <t>W603S</t>
  </si>
  <si>
    <t>N7A</t>
  </si>
  <si>
    <t>H95</t>
  </si>
  <si>
    <t>AS5707</t>
  </si>
  <si>
    <t>H99</t>
  </si>
  <si>
    <t>Ky21</t>
  </si>
  <si>
    <t>B98</t>
  </si>
  <si>
    <t>K201</t>
  </si>
  <si>
    <t>W23</t>
  </si>
  <si>
    <t>B2</t>
  </si>
  <si>
    <t>CM7</t>
  </si>
  <si>
    <t>EP1</t>
  </si>
  <si>
    <t>W703</t>
  </si>
  <si>
    <t>CML 220</t>
  </si>
  <si>
    <t>CML 322</t>
  </si>
  <si>
    <t>B68</t>
  </si>
  <si>
    <t>CO255</t>
  </si>
  <si>
    <t>CML 108</t>
  </si>
  <si>
    <t>W609S</t>
  </si>
  <si>
    <t>W815G</t>
  </si>
  <si>
    <t>CML 91</t>
  </si>
  <si>
    <t>OH33</t>
  </si>
  <si>
    <t>F44</t>
  </si>
  <si>
    <t>CM174</t>
  </si>
  <si>
    <t>Pa468</t>
  </si>
  <si>
    <t>R225</t>
  </si>
  <si>
    <t>H49</t>
  </si>
  <si>
    <t>PHT55</t>
  </si>
  <si>
    <t>CML 218</t>
  </si>
  <si>
    <t>N545</t>
  </si>
  <si>
    <t>F2834T</t>
  </si>
  <si>
    <t>R53</t>
  </si>
  <si>
    <t>PHG80</t>
  </si>
  <si>
    <t>PHN11</t>
  </si>
  <si>
    <t>SD102</t>
  </si>
  <si>
    <t>PHT77</t>
  </si>
  <si>
    <t>PHR36</t>
  </si>
  <si>
    <t>PHJ40</t>
  </si>
  <si>
    <t>R30</t>
  </si>
  <si>
    <t>PHK76</t>
  </si>
  <si>
    <t>A649</t>
  </si>
  <si>
    <t>H110</t>
  </si>
  <si>
    <t>DE4</t>
  </si>
  <si>
    <t>R197</t>
  </si>
  <si>
    <t>A334</t>
  </si>
  <si>
    <t>A155</t>
  </si>
  <si>
    <t>CR1HT</t>
  </si>
  <si>
    <t>A12</t>
  </si>
  <si>
    <t>A71</t>
  </si>
  <si>
    <t>A572</t>
  </si>
  <si>
    <t>B14</t>
  </si>
  <si>
    <t>Ki3</t>
  </si>
  <si>
    <t>A648</t>
  </si>
  <si>
    <t>80-2</t>
  </si>
  <si>
    <t>A651</t>
  </si>
  <si>
    <t>PHG29</t>
  </si>
  <si>
    <t>A674</t>
  </si>
  <si>
    <t>A171</t>
  </si>
  <si>
    <t>A322</t>
  </si>
  <si>
    <t>A627</t>
  </si>
  <si>
    <t>CML 228</t>
  </si>
  <si>
    <t>A15</t>
  </si>
  <si>
    <t>A385</t>
  </si>
  <si>
    <t>CL22</t>
  </si>
  <si>
    <t>CML 52</t>
  </si>
  <si>
    <t>A663</t>
  </si>
  <si>
    <t>A662</t>
  </si>
  <si>
    <t>A321</t>
  </si>
  <si>
    <t>LH38</t>
  </si>
  <si>
    <t>B-28</t>
  </si>
  <si>
    <t>LH93</t>
  </si>
  <si>
    <t>MS67</t>
  </si>
  <si>
    <t>NC472</t>
  </si>
  <si>
    <t>N209</t>
  </si>
  <si>
    <t>R134</t>
  </si>
  <si>
    <t>N216</t>
  </si>
  <si>
    <t>PHG72</t>
  </si>
  <si>
    <t>C49A</t>
  </si>
  <si>
    <t>N534</t>
  </si>
  <si>
    <t>N215</t>
  </si>
  <si>
    <t>PHB09</t>
  </si>
  <si>
    <t>MS24A</t>
  </si>
  <si>
    <t>N527</t>
  </si>
  <si>
    <t>N501</t>
  </si>
  <si>
    <t>MS226</t>
  </si>
  <si>
    <t>Pa392</t>
  </si>
  <si>
    <t>R101</t>
  </si>
  <si>
    <t>ND230</t>
  </si>
  <si>
    <t>N193</t>
  </si>
  <si>
    <t>PHG35</t>
  </si>
  <si>
    <t>Os426</t>
  </si>
  <si>
    <t>MS72</t>
  </si>
  <si>
    <t>N218</t>
  </si>
  <si>
    <t>ND260</t>
  </si>
  <si>
    <t>ND245</t>
  </si>
  <si>
    <t>ND1</t>
  </si>
  <si>
    <t>N217</t>
  </si>
  <si>
    <t>R227</t>
  </si>
  <si>
    <t>SD101</t>
  </si>
  <si>
    <t>W819G</t>
  </si>
  <si>
    <t>W814G</t>
  </si>
  <si>
    <t>ND251</t>
  </si>
  <si>
    <t>W610S</t>
  </si>
  <si>
    <t>W607S</t>
  </si>
  <si>
    <t>W85</t>
  </si>
  <si>
    <t>W811G</t>
  </si>
  <si>
    <t>W59E</t>
  </si>
  <si>
    <t>W820G</t>
  </si>
  <si>
    <t>YING-55</t>
  </si>
  <si>
    <t>B84</t>
  </si>
  <si>
    <t>B14A</t>
  </si>
  <si>
    <t>YANG</t>
  </si>
  <si>
    <t>A659</t>
  </si>
  <si>
    <t>F7</t>
  </si>
  <si>
    <t>B75</t>
  </si>
  <si>
    <t>A188</t>
  </si>
  <si>
    <t>38-11</t>
  </si>
  <si>
    <t>WR3</t>
  </si>
  <si>
    <t>W611S</t>
  </si>
  <si>
    <t>W182BN</t>
  </si>
  <si>
    <t>A554</t>
  </si>
  <si>
    <t>W24</t>
  </si>
  <si>
    <t>B64</t>
  </si>
  <si>
    <t>W605S</t>
  </si>
  <si>
    <t>A682</t>
  </si>
  <si>
    <t>W604S</t>
  </si>
  <si>
    <t>YE-CHI-HUNG</t>
  </si>
  <si>
    <t>N199</t>
  </si>
  <si>
    <t>A679</t>
  </si>
  <si>
    <t>T242</t>
  </si>
  <si>
    <t>W812G</t>
  </si>
  <si>
    <t>B77</t>
  </si>
  <si>
    <t>W9</t>
  </si>
  <si>
    <t>ND262</t>
  </si>
  <si>
    <t>W821G</t>
  </si>
  <si>
    <t>W810G</t>
  </si>
  <si>
    <t>CH701-30</t>
  </si>
  <si>
    <t>B7</t>
  </si>
  <si>
    <t>A</t>
  </si>
  <si>
    <t>Ki11</t>
  </si>
  <si>
    <t>A427</t>
  </si>
  <si>
    <t>A401</t>
  </si>
  <si>
    <t>A258</t>
  </si>
  <si>
    <t>A305</t>
  </si>
  <si>
    <t>LH1</t>
  </si>
  <si>
    <t>Oh7</t>
  </si>
  <si>
    <t>B110</t>
  </si>
  <si>
    <t>CH9</t>
  </si>
  <si>
    <t>H5</t>
  </si>
  <si>
    <t>E2558W</t>
  </si>
  <si>
    <t>A374</t>
  </si>
  <si>
    <t>A680</t>
  </si>
  <si>
    <t>SD15</t>
  </si>
  <si>
    <t>B97</t>
  </si>
  <si>
    <t>CO125</t>
  </si>
  <si>
    <t>DE811</t>
  </si>
  <si>
    <t>Tr</t>
  </si>
  <si>
    <t>Va38</t>
  </si>
  <si>
    <t>B73</t>
  </si>
  <si>
    <r>
      <t>Dataset S1.</t>
    </r>
    <r>
      <rPr>
        <sz val="10"/>
        <rFont val="Verdana"/>
      </rPr>
      <t xml:space="preserve"> Read number, mapping information, and individual assembly status for the 503 maize inbred lines included in this study. </t>
    </r>
  </si>
  <si>
    <t>W 7151</t>
  </si>
  <si>
    <t>4554 INBRED</t>
  </si>
  <si>
    <t>4578 INBRED</t>
  </si>
  <si>
    <t>4F-35 BK</t>
  </si>
  <si>
    <t>Chi-tan 120</t>
  </si>
  <si>
    <t>CI 40H</t>
  </si>
  <si>
    <t>CI 21E</t>
  </si>
  <si>
    <t>CI 28A</t>
  </si>
  <si>
    <t>CI 3A</t>
  </si>
  <si>
    <t>CI 64</t>
  </si>
  <si>
    <t>CI 91B</t>
  </si>
  <si>
    <t>CI 90C</t>
  </si>
  <si>
    <t>EAST 028</t>
  </si>
  <si>
    <t>Eng-Li Chih</t>
  </si>
  <si>
    <t>INBRED 109</t>
  </si>
  <si>
    <t>INBRED 141</t>
  </si>
  <si>
    <t>INBRED 305</t>
  </si>
  <si>
    <t>INBRED 309</t>
  </si>
  <si>
    <t>INBRED 100</t>
  </si>
  <si>
    <t>L 289</t>
  </si>
  <si>
    <t>NY 159 (Neveh_Yaar)</t>
  </si>
  <si>
    <t>TZU-CHIAO-HSI-WU 105</t>
  </si>
  <si>
    <t>Ye 4</t>
  </si>
  <si>
    <t>Yellow 3-4</t>
  </si>
  <si>
    <t>YONG 28</t>
  </si>
  <si>
    <t>Yu796 NS</t>
  </si>
  <si>
    <t>S 56</t>
  </si>
  <si>
    <t>A415-1-3 INBRED</t>
  </si>
  <si>
    <t>Il 101T</t>
  </si>
  <si>
    <t>LH143 (Maintainer)</t>
  </si>
  <si>
    <t>SG 30A</t>
  </si>
  <si>
    <t>SG 18</t>
  </si>
  <si>
    <t>B-18 INBR.FR.SUPERGOLD</t>
  </si>
  <si>
    <t>AusTRCF 306238</t>
  </si>
  <si>
    <t>NO. 380</t>
  </si>
  <si>
    <t>G3 T5a</t>
  </si>
  <si>
    <t>G22 T122</t>
  </si>
  <si>
    <t>U 123</t>
  </si>
  <si>
    <t>Ia453</t>
  </si>
  <si>
    <t>CR 22 INBRED</t>
  </si>
  <si>
    <t>Sg 1533</t>
  </si>
  <si>
    <t>H8431</t>
  </si>
  <si>
    <t>S8324</t>
  </si>
  <si>
    <t>HBA1</t>
  </si>
  <si>
    <t>IB014</t>
  </si>
  <si>
    <t>MBNA</t>
  </si>
  <si>
    <t>4676A</t>
  </si>
  <si>
    <t>78371A</t>
  </si>
  <si>
    <t>FBHJ</t>
  </si>
  <si>
    <t>MBPM</t>
  </si>
  <si>
    <t>PB80</t>
  </si>
  <si>
    <t>IB02</t>
  </si>
  <si>
    <t>NSL 30904</t>
  </si>
  <si>
    <t>PI 587130</t>
  </si>
  <si>
    <t>Ames 2336</t>
  </si>
  <si>
    <t>Ames 26771</t>
  </si>
  <si>
    <t>Ames 26604</t>
  </si>
  <si>
    <t>PI 415082</t>
  </si>
  <si>
    <t>PI 415086</t>
  </si>
  <si>
    <t>PI 601438</t>
  </si>
  <si>
    <t>PI 369437</t>
  </si>
  <si>
    <t>NSL 30861</t>
  </si>
  <si>
    <t>NSL 42873</t>
  </si>
  <si>
    <t>Ames 23389</t>
  </si>
  <si>
    <t>Ames 23396</t>
  </si>
  <si>
    <t>NSL 42878</t>
  </si>
  <si>
    <t>Ames 22443</t>
  </si>
  <si>
    <t>Ames 23402</t>
  </si>
  <si>
    <t>Ames 23405</t>
  </si>
  <si>
    <t>NSL 81596</t>
  </si>
  <si>
    <t>Ames 23417</t>
  </si>
  <si>
    <t>Ames 23421</t>
  </si>
  <si>
    <t>Ames 23422</t>
  </si>
  <si>
    <t>Ames 23423</t>
  </si>
  <si>
    <t>Ames 23424</t>
  </si>
  <si>
    <t>Ames 23427</t>
  </si>
  <si>
    <t>Ames 23429</t>
  </si>
  <si>
    <t>Ames 23430</t>
  </si>
  <si>
    <t>Ames 23435</t>
  </si>
  <si>
    <t>PI 587138</t>
  </si>
  <si>
    <t>Ames 23451</t>
  </si>
  <si>
    <t>Ames 23463</t>
  </si>
  <si>
    <t>PI 587140</t>
  </si>
  <si>
    <t>Ames 19309</t>
  </si>
  <si>
    <t>NSL 81597</t>
  </si>
  <si>
    <t>Ames 23482</t>
  </si>
  <si>
    <t>Ames 23484</t>
  </si>
  <si>
    <t>NSL 81599</t>
  </si>
  <si>
    <t>PI 607521</t>
  </si>
  <si>
    <t>PI 607522</t>
  </si>
  <si>
    <t>PI 607523</t>
  </si>
  <si>
    <t>Ames 23497</t>
  </si>
  <si>
    <t>Ames 23498</t>
  </si>
  <si>
    <t>PI 587142</t>
  </si>
  <si>
    <t>Ames 23503</t>
  </si>
  <si>
    <t>PI 587143</t>
  </si>
  <si>
    <t>NSL 42875</t>
  </si>
  <si>
    <t>Ames 22439</t>
  </si>
  <si>
    <t>Ames 22794</t>
  </si>
  <si>
    <t>PI 340855</t>
  </si>
  <si>
    <t>PI 340860</t>
  </si>
  <si>
    <t>NSL 65865</t>
  </si>
  <si>
    <t>PI 564852</t>
  </si>
  <si>
    <t>PI 594046</t>
  </si>
  <si>
    <t>PI 594047</t>
  </si>
  <si>
    <t>PI 594048</t>
  </si>
  <si>
    <t>PI 594049</t>
  </si>
  <si>
    <t>PI 597925</t>
  </si>
  <si>
    <t>PI 597926</t>
  </si>
  <si>
    <t>PI 597927</t>
  </si>
  <si>
    <t>NSL 65866</t>
  </si>
  <si>
    <t>PI 550461</t>
  </si>
  <si>
    <t>Ames 26769</t>
  </si>
  <si>
    <t>PI 550467</t>
  </si>
  <si>
    <t>PI 603939</t>
  </si>
  <si>
    <t>PI 550454</t>
  </si>
  <si>
    <t>PI 550470</t>
  </si>
  <si>
    <t>PI 550440</t>
  </si>
  <si>
    <t>PI 550464</t>
  </si>
  <si>
    <t>PI 550465</t>
  </si>
  <si>
    <t>NSL 65863</t>
  </si>
  <si>
    <t>PI 550473</t>
  </si>
  <si>
    <t>PI 608774</t>
  </si>
  <si>
    <t>PI 608765</t>
  </si>
  <si>
    <t>PI 608766</t>
  </si>
  <si>
    <t>NSL 65864</t>
  </si>
  <si>
    <t>PI 608767</t>
  </si>
  <si>
    <t>PI 608777</t>
  </si>
  <si>
    <t>PI 608768</t>
  </si>
  <si>
    <t>PI 550556</t>
  </si>
  <si>
    <t>PI 509542</t>
  </si>
  <si>
    <t>PI 527699</t>
  </si>
  <si>
    <t>PI 527700</t>
  </si>
  <si>
    <t>PI 564682</t>
  </si>
  <si>
    <t>PI 584528</t>
  </si>
  <si>
    <t>NSL 22983</t>
  </si>
  <si>
    <t>Ames 19284</t>
  </si>
  <si>
    <t>Ames 19313</t>
  </si>
  <si>
    <t>Ames 22016</t>
  </si>
  <si>
    <t>Ames 23507</t>
  </si>
  <si>
    <t>Ames 27067</t>
  </si>
  <si>
    <t>Ames 22023</t>
  </si>
  <si>
    <t>Ames 24585</t>
  </si>
  <si>
    <t>Ames 22441</t>
  </si>
  <si>
    <t>Ames 27069</t>
  </si>
  <si>
    <t>Ames 27021</t>
  </si>
  <si>
    <t>Ames 27068</t>
  </si>
  <si>
    <t>PI 427111</t>
  </si>
  <si>
    <t>CIze 21</t>
  </si>
  <si>
    <t>CIze 28</t>
  </si>
  <si>
    <t>CIze 38</t>
  </si>
  <si>
    <t>Ames 26128</t>
  </si>
  <si>
    <t>CIze 64</t>
  </si>
  <si>
    <t>CIze 89</t>
  </si>
  <si>
    <t>CIze 91</t>
  </si>
  <si>
    <t>Ames 28953</t>
  </si>
  <si>
    <t>Ames 21512</t>
  </si>
  <si>
    <t>Ames 27024</t>
  </si>
  <si>
    <t>Ames 27025</t>
  </si>
  <si>
    <t>Ames 27028</t>
  </si>
  <si>
    <t>Ames 27029</t>
  </si>
  <si>
    <t>PI 587124</t>
  </si>
  <si>
    <t>Ames 19316</t>
  </si>
  <si>
    <t>Ames 22747</t>
  </si>
  <si>
    <t>Ames 27070</t>
  </si>
  <si>
    <t>Ames 27031</t>
  </si>
  <si>
    <t>Ames 27105</t>
  </si>
  <si>
    <t>Ames 27039</t>
  </si>
  <si>
    <t>Ames 27106</t>
  </si>
  <si>
    <t>Ames 27042</t>
  </si>
  <si>
    <t>Ames 27043</t>
  </si>
  <si>
    <t>Ames 27044</t>
  </si>
  <si>
    <t>Ames 27046</t>
  </si>
  <si>
    <t>Ames 27047</t>
  </si>
  <si>
    <t>Ames 27048</t>
  </si>
  <si>
    <t>Ames 27107</t>
  </si>
  <si>
    <t>Ames 27051</t>
  </si>
  <si>
    <t>Ames 27052</t>
  </si>
  <si>
    <t>Ames 27053</t>
  </si>
  <si>
    <t>PI 267165</t>
  </si>
  <si>
    <t>PI 601080</t>
  </si>
  <si>
    <t>Ames 27057</t>
  </si>
  <si>
    <t>PI 550558</t>
  </si>
  <si>
    <t>Ames 27110</t>
  </si>
  <si>
    <t>Ames 2330</t>
  </si>
  <si>
    <t>PI 427109</t>
  </si>
  <si>
    <t>Ames 27111</t>
  </si>
  <si>
    <t>PI 257513</t>
  </si>
  <si>
    <t>Ames 27112</t>
  </si>
  <si>
    <t>PI 257515</t>
  </si>
  <si>
    <t>PI 257507</t>
  </si>
  <si>
    <t>PI 601439</t>
  </si>
  <si>
    <t>PI 257517</t>
  </si>
  <si>
    <t>PI 600772</t>
  </si>
  <si>
    <t>PI 340821</t>
  </si>
  <si>
    <t>PI 340818</t>
  </si>
  <si>
    <t>PI 601037</t>
  </si>
  <si>
    <t>PI 550526</t>
  </si>
  <si>
    <t>Ames 26803</t>
  </si>
  <si>
    <t>Ames 22751</t>
  </si>
  <si>
    <t>Ames 26804</t>
  </si>
  <si>
    <t>Ames 26805</t>
  </si>
  <si>
    <t>Ames 26806</t>
  </si>
  <si>
    <t>Ames 26774</t>
  </si>
  <si>
    <t>Ames 26787</t>
  </si>
  <si>
    <t>Ames 26772</t>
  </si>
  <si>
    <t>Ames 26790</t>
  </si>
  <si>
    <t>Ames 26793</t>
  </si>
  <si>
    <t>PI 587128</t>
  </si>
  <si>
    <t>Ames 27114</t>
  </si>
  <si>
    <t>Ames 19319</t>
  </si>
  <si>
    <t>Ames 26797</t>
  </si>
  <si>
    <t>PI 587129</t>
  </si>
  <si>
    <t>PI 587131</t>
  </si>
  <si>
    <t>PI 542777</t>
  </si>
  <si>
    <t>Ames 2337</t>
  </si>
  <si>
    <t>Ames 2339</t>
  </si>
  <si>
    <t>Ames 24589</t>
  </si>
  <si>
    <t>Ames 24590</t>
  </si>
  <si>
    <t>Ames 27115</t>
  </si>
  <si>
    <t>PI 587134</t>
  </si>
  <si>
    <t>Ames 27117</t>
  </si>
  <si>
    <t>Ames 24575</t>
  </si>
  <si>
    <t>Ames 24576</t>
  </si>
  <si>
    <t>Ames 27119</t>
  </si>
  <si>
    <t>Ames 27118</t>
  </si>
  <si>
    <t>Ames 27446</t>
  </si>
  <si>
    <t>Ames 27122</t>
  </si>
  <si>
    <t>NSL 22630</t>
  </si>
  <si>
    <t>NSL 22634</t>
  </si>
  <si>
    <t>NSL 22632</t>
  </si>
  <si>
    <t>NSL 30038</t>
  </si>
  <si>
    <t>NSL 22635</t>
  </si>
  <si>
    <t>NSL 22628</t>
  </si>
  <si>
    <t>Ames 22754</t>
  </si>
  <si>
    <t>Ames 27121</t>
  </si>
  <si>
    <t>PI 391662</t>
  </si>
  <si>
    <t>Ames 27130</t>
  </si>
  <si>
    <t>Ames 27131</t>
  </si>
  <si>
    <t>PI 587136</t>
  </si>
  <si>
    <t>NSL 65872</t>
  </si>
  <si>
    <t>NSL 65873</t>
  </si>
  <si>
    <t>PI 644101</t>
  </si>
  <si>
    <t>PI 601079</t>
  </si>
  <si>
    <t>Ames 27450</t>
  </si>
  <si>
    <t>PI 600959</t>
  </si>
  <si>
    <t>PI 601493</t>
  </si>
  <si>
    <t>PI 600791</t>
  </si>
  <si>
    <t>PI 600944</t>
  </si>
  <si>
    <t>PI 601466</t>
  </si>
  <si>
    <t>PI 601404</t>
  </si>
  <si>
    <t>PI 601416</t>
  </si>
  <si>
    <t>PI 601170</t>
  </si>
  <si>
    <t>PI 601171</t>
  </si>
  <si>
    <t>PI 601378</t>
  </si>
  <si>
    <t>NSL 30867</t>
  </si>
  <si>
    <t>Ames 22043</t>
  </si>
  <si>
    <t>PI 558518</t>
  </si>
  <si>
    <t>PI 558532</t>
  </si>
  <si>
    <t>Ames 20116</t>
  </si>
  <si>
    <t>PI 587144</t>
  </si>
  <si>
    <t>Ames 28928</t>
  </si>
  <si>
    <t>PI 558522</t>
  </si>
  <si>
    <t>Ames 28930</t>
  </si>
  <si>
    <t>Ames 28937</t>
  </si>
  <si>
    <t>Ames 28938</t>
  </si>
  <si>
    <t>PI 583350</t>
  </si>
  <si>
    <t>PI 583352</t>
  </si>
  <si>
    <t>PI 558523</t>
  </si>
  <si>
    <t>PI 558516</t>
  </si>
  <si>
    <t>Ames 24727</t>
  </si>
  <si>
    <t>Ames 24729</t>
  </si>
  <si>
    <t>Ames 24706</t>
  </si>
  <si>
    <t>Ames 24730</t>
  </si>
  <si>
    <t>Ames 24733</t>
  </si>
  <si>
    <t>Ames 24742</t>
  </si>
  <si>
    <t>Ames 24746</t>
  </si>
  <si>
    <t>Ames 24747</t>
  </si>
  <si>
    <t>Ames 24748</t>
  </si>
  <si>
    <t>Ames 24749</t>
  </si>
  <si>
    <t>Ames 24750</t>
  </si>
  <si>
    <t>Ames 24751</t>
  </si>
  <si>
    <t>Ames 24708</t>
  </si>
  <si>
    <t>Ames 24710</t>
  </si>
  <si>
    <t>Ames 24713</t>
  </si>
  <si>
    <t>Ames 20140</t>
  </si>
  <si>
    <t>PI 550567</t>
  </si>
  <si>
    <t>Ames 22755</t>
  </si>
  <si>
    <t>PI 568158</t>
  </si>
  <si>
    <t>PI 595366</t>
  </si>
  <si>
    <t>PI 595367</t>
  </si>
  <si>
    <t>PI 596355</t>
  </si>
  <si>
    <t>PI 596356</t>
  </si>
  <si>
    <t>PI 596357</t>
  </si>
  <si>
    <t>Ames 19321</t>
  </si>
  <si>
    <t>Ames 27138</t>
  </si>
  <si>
    <t>PI 594050</t>
  </si>
  <si>
    <t>PI 604606</t>
  </si>
  <si>
    <t>PI 594080</t>
  </si>
  <si>
    <t>PI 594084</t>
  </si>
  <si>
    <t>PI 594088</t>
  </si>
  <si>
    <t>PI 594091</t>
  </si>
  <si>
    <t>Ames 27137</t>
  </si>
  <si>
    <t>PI 607512</t>
  </si>
  <si>
    <t>NSL 32723</t>
  </si>
  <si>
    <t>PI 550553</t>
  </si>
  <si>
    <t>NSL 32726</t>
  </si>
  <si>
    <t>NSL 32728</t>
  </si>
  <si>
    <t>PI 550489</t>
  </si>
  <si>
    <t>PI 550490</t>
  </si>
  <si>
    <t>PI 550503</t>
  </si>
  <si>
    <t>PI 550532</t>
  </si>
  <si>
    <t>PI 550573</t>
  </si>
  <si>
    <t>PI 522250</t>
  </si>
  <si>
    <t>PI 546494</t>
  </si>
  <si>
    <t>NSL 32738</t>
  </si>
  <si>
    <t>Ames 22047</t>
  </si>
  <si>
    <t>PI 303924</t>
  </si>
  <si>
    <t>PI 542716</t>
  </si>
  <si>
    <t>PI 601417</t>
  </si>
  <si>
    <t>PI 610494</t>
  </si>
  <si>
    <t>PI 596506</t>
  </si>
  <si>
    <t>NSL 28965</t>
  </si>
  <si>
    <t>NSL 28966</t>
  </si>
  <si>
    <t>Ames 19288</t>
  </si>
  <si>
    <t>PI 587146</t>
  </si>
  <si>
    <t>NSL 22629</t>
  </si>
  <si>
    <t>NSL 65874</t>
  </si>
  <si>
    <t>Ames 22756</t>
  </si>
  <si>
    <t>PI 587133</t>
  </si>
  <si>
    <t>PI 517968</t>
  </si>
  <si>
    <t>Ames 22757</t>
  </si>
  <si>
    <t>PI 517971</t>
  </si>
  <si>
    <t>Ames 27184</t>
  </si>
  <si>
    <t>PI 560081</t>
  </si>
  <si>
    <t>PI 517974</t>
  </si>
  <si>
    <t>PI 531083</t>
  </si>
  <si>
    <t>PI 601441</t>
  </si>
  <si>
    <t>PI 601270</t>
  </si>
  <si>
    <t>PI 601008</t>
  </si>
  <si>
    <t>PI 600981</t>
  </si>
  <si>
    <t>PI 601318</t>
  </si>
  <si>
    <t>PI 601006</t>
  </si>
  <si>
    <t>PI 601319</t>
  </si>
  <si>
    <t>PI 601321</t>
  </si>
  <si>
    <t>PI 601496</t>
  </si>
  <si>
    <t>PI 601497</t>
  </si>
  <si>
    <t>PI 601361</t>
  </si>
  <si>
    <t>PI 601498</t>
  </si>
  <si>
    <t>PI 601499</t>
  </si>
  <si>
    <t>PI 601500</t>
  </si>
  <si>
    <t>PI 601362</t>
  </si>
  <si>
    <t>PI 601322</t>
  </si>
  <si>
    <t>NSL 30878</t>
  </si>
  <si>
    <t>NSL 30883</t>
  </si>
  <si>
    <t>NSL 30884</t>
  </si>
  <si>
    <t>Ames 19326</t>
  </si>
  <si>
    <t>NSL 30894</t>
  </si>
  <si>
    <t>NSL 30896</t>
  </si>
  <si>
    <t>NSL 30902</t>
  </si>
  <si>
    <t>PI 531509</t>
  </si>
  <si>
    <t>PI 531510</t>
  </si>
  <si>
    <t>PI 531511</t>
  </si>
  <si>
    <t>PI 592734</t>
  </si>
  <si>
    <t>NSL 30868</t>
  </si>
  <si>
    <t>Ames 27187</t>
  </si>
  <si>
    <t>NSL 30869</t>
  </si>
  <si>
    <t>NSL 30872</t>
  </si>
  <si>
    <t>NSL 30876</t>
  </si>
  <si>
    <t>PI 535906</t>
  </si>
  <si>
    <t>PI 601611</t>
  </si>
  <si>
    <t>PI 533658</t>
  </si>
  <si>
    <t>PI 533659</t>
  </si>
  <si>
    <t>PI 538243</t>
  </si>
  <si>
    <t>NSL 34374</t>
  </si>
  <si>
    <t>PI 606768</t>
  </si>
  <si>
    <t>PI 508277</t>
  </si>
  <si>
    <t>PI 524969</t>
  </si>
  <si>
    <t>PI 587132</t>
  </si>
  <si>
    <t>NSL 75979</t>
  </si>
  <si>
    <t>NSL 75980</t>
  </si>
  <si>
    <t>PI 340827</t>
  </si>
  <si>
    <t>PI 340829</t>
  </si>
  <si>
    <t>PI 340830</t>
  </si>
  <si>
    <t>PI 340819</t>
  </si>
  <si>
    <t>Ames 26022</t>
  </si>
  <si>
    <t>PI 391676</t>
  </si>
  <si>
    <t>PI 391678</t>
  </si>
  <si>
    <t>PI 369446</t>
  </si>
  <si>
    <t>PI 587151</t>
  </si>
  <si>
    <t>Ames 27192</t>
  </si>
  <si>
    <t>Ames 19011</t>
  </si>
  <si>
    <t>Ames 19014</t>
  </si>
  <si>
    <t>Ames 27193</t>
  </si>
  <si>
    <t>Ames 24989</t>
  </si>
  <si>
    <t>Ames 22067</t>
  </si>
  <si>
    <t>Ames 8399</t>
  </si>
  <si>
    <t>PI 587154</t>
  </si>
  <si>
    <t>PI 587155</t>
  </si>
  <si>
    <t>NSL 30053</t>
  </si>
  <si>
    <t>NSL 30060</t>
  </si>
  <si>
    <t>NSL 30064</t>
  </si>
  <si>
    <t>NSL 30071</t>
  </si>
  <si>
    <t>NSL 30073</t>
  </si>
  <si>
    <t>PI 520770</t>
  </si>
  <si>
    <t>Ames 22767</t>
  </si>
  <si>
    <t>PI 587152</t>
  </si>
  <si>
    <t>Ames 26768</t>
  </si>
  <si>
    <t>NSL 30056</t>
  </si>
  <si>
    <t>PI 601502</t>
  </si>
  <si>
    <t>NSL 30065</t>
  </si>
  <si>
    <t>NSL 30066</t>
  </si>
  <si>
    <t>PI 391680</t>
  </si>
  <si>
    <t>Ames 26745</t>
  </si>
  <si>
    <t>PI 391672</t>
  </si>
  <si>
    <t>Ames 2335</t>
  </si>
  <si>
    <t>PI 391682</t>
  </si>
  <si>
    <t>Ames 2331</t>
  </si>
  <si>
    <t>PI 391665</t>
  </si>
  <si>
    <t>Ames 2333</t>
  </si>
  <si>
    <t>Ames 2334</t>
  </si>
  <si>
    <t>NSL 437933</t>
  </si>
  <si>
    <t>Ames 19000</t>
  </si>
  <si>
    <t xml:space="preserve">Ames 24734 </t>
  </si>
  <si>
    <t>Ames 27124</t>
  </si>
  <si>
    <t>Ames 27125</t>
  </si>
  <si>
    <t>Ames 27123</t>
  </si>
  <si>
    <t>Ames 27126</t>
  </si>
  <si>
    <t xml:space="preserve">PI 591017 </t>
  </si>
  <si>
    <t>Ames 30559</t>
  </si>
  <si>
    <t>Ames 30560</t>
  </si>
  <si>
    <t>Ames 30566</t>
  </si>
  <si>
    <t>Ames 30568</t>
  </si>
  <si>
    <t>Ames 30569</t>
  </si>
  <si>
    <t>Ames 30570</t>
  </si>
  <si>
    <t>Ames 30571</t>
  </si>
  <si>
    <t>Ames 30572</t>
  </si>
  <si>
    <t>Ames 30573</t>
  </si>
  <si>
    <t>Ames 30574</t>
  </si>
  <si>
    <t>Ames 30578</t>
  </si>
  <si>
    <t>Ames 30575</t>
  </si>
  <si>
    <t>Ames 30576</t>
  </si>
  <si>
    <t>Ames 30577</t>
  </si>
  <si>
    <t xml:space="preserve">Ames 27134 </t>
  </si>
  <si>
    <t xml:space="preserve">Ames 27133 </t>
  </si>
  <si>
    <t>PI 550522</t>
  </si>
  <si>
    <t>Ames 27190</t>
  </si>
  <si>
    <t>Ames 27191</t>
  </si>
  <si>
    <t xml:space="preserve">PI 186197 </t>
  </si>
  <si>
    <t xml:space="preserve">PI 186196 </t>
  </si>
  <si>
    <t xml:space="preserve">PI 186199 </t>
  </si>
  <si>
    <t>PI 186226</t>
  </si>
  <si>
    <t xml:space="preserve">PI 186227 </t>
  </si>
  <si>
    <t>Mo.G</t>
  </si>
  <si>
    <t xml:space="preserve">Ames 27136 </t>
  </si>
  <si>
    <t xml:space="preserve">PI 543916 </t>
  </si>
  <si>
    <t>Ames 12726</t>
  </si>
  <si>
    <t>Ames 12729</t>
  </si>
  <si>
    <t>Ames 12731</t>
  </si>
  <si>
    <t>Ames 12732</t>
  </si>
  <si>
    <t>Ames 12734</t>
  </si>
  <si>
    <t>PI 550555</t>
  </si>
  <si>
    <t>PI 520774</t>
  </si>
  <si>
    <t>Ames 27155</t>
  </si>
  <si>
    <t>Ames 27167</t>
  </si>
  <si>
    <t>Ames 27168</t>
  </si>
  <si>
    <t>Ames 27174</t>
  </si>
  <si>
    <t>Ames 27175</t>
  </si>
  <si>
    <t xml:space="preserve">Ames 27261 </t>
  </si>
  <si>
    <t xml:space="preserve">Ames 27166 </t>
  </si>
  <si>
    <t xml:space="preserve">Ames 30553 </t>
  </si>
  <si>
    <t>Ames 30555</t>
  </si>
  <si>
    <t>Ames 30557</t>
  </si>
  <si>
    <t>PI 595561</t>
  </si>
  <si>
    <t>Ames 27079</t>
  </si>
  <si>
    <t>Ames 27082</t>
  </si>
  <si>
    <t>Ames 27086</t>
  </si>
  <si>
    <t>Ames 27087</t>
  </si>
  <si>
    <t>Ames 27088</t>
  </si>
  <si>
    <t>PI 595541</t>
  </si>
  <si>
    <t>PI 595542</t>
  </si>
  <si>
    <t>PI 595544</t>
  </si>
  <si>
    <t>PI 595550</t>
  </si>
  <si>
    <t>PI 595565</t>
  </si>
  <si>
    <t>Ames 27096</t>
  </si>
  <si>
    <t>Ames 27097</t>
  </si>
  <si>
    <t xml:space="preserve">Ames 10256 </t>
  </si>
  <si>
    <t xml:space="preserve">Ames 10254 </t>
  </si>
  <si>
    <t xml:space="preserve">PI 593008 </t>
  </si>
  <si>
    <t xml:space="preserve">PI 593010 </t>
  </si>
  <si>
    <t xml:space="preserve">PI 601209 </t>
  </si>
  <si>
    <t xml:space="preserve">PI 601441 </t>
  </si>
  <si>
    <t xml:space="preserve">PI 601300 </t>
  </si>
  <si>
    <t xml:space="preserve">PI 601172 </t>
  </si>
  <si>
    <t xml:space="preserve">PI 601208 </t>
  </si>
  <si>
    <t xml:space="preserve">PI 601457 </t>
  </si>
  <si>
    <t xml:space="preserve">PI 601440 </t>
  </si>
  <si>
    <t xml:space="preserve">PI 198888 </t>
  </si>
  <si>
    <t xml:space="preserve">PI 221773 </t>
  </si>
  <si>
    <t xml:space="preserve">PI 406130 </t>
  </si>
  <si>
    <t>PI 561522</t>
  </si>
  <si>
    <t xml:space="preserve">PI 601610 </t>
  </si>
  <si>
    <t>Accession Number</t>
  </si>
  <si>
    <r>
      <t>Supplemental Data. Hirsch et al. Plant Cell. (2014).</t>
    </r>
    <r>
      <rPr>
        <b/>
        <sz val="10"/>
        <rFont val="Arial"/>
      </rPr>
      <t xml:space="preserve"> </t>
    </r>
    <r>
      <rPr>
        <sz val="10"/>
        <rFont val="Arial"/>
      </rPr>
      <t>10.1105/tpc.113.119982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</si>
</sst>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u/>
      <sz val="10"/>
      <color theme="10"/>
      <name val="Verdana"/>
    </font>
    <font>
      <u/>
      <sz val="10"/>
      <color theme="11"/>
      <name val="Verdana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76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10" fontId="0" fillId="0" borderId="0" xfId="1" applyNumberFormat="1" applyFont="1" applyAlignment="1">
      <alignment horizontal="right"/>
    </xf>
    <xf numFmtId="9" fontId="0" fillId="0" borderId="0" xfId="1" applyFont="1"/>
    <xf numFmtId="9" fontId="0" fillId="0" borderId="0" xfId="1" applyFont="1" applyFill="1"/>
    <xf numFmtId="0" fontId="0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/>
    </xf>
  </cellXfs>
  <cellStyles count="7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Normal" xfId="0" builtinId="0"/>
    <cellStyle name="Percent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6"/>
  <sheetViews>
    <sheetView tabSelected="1" workbookViewId="0"/>
  </sheetViews>
  <sheetFormatPr baseColWidth="10" defaultRowHeight="13" x14ac:dyDescent="0"/>
  <cols>
    <col min="1" max="1" width="21" style="12" bestFit="1" customWidth="1"/>
    <col min="2" max="2" width="21" customWidth="1"/>
    <col min="3" max="3" width="14.28515625" bestFit="1" customWidth="1"/>
    <col min="4" max="4" width="7.28515625" bestFit="1" customWidth="1"/>
    <col min="5" max="5" width="15.5703125" bestFit="1" customWidth="1"/>
    <col min="6" max="6" width="2.85546875" style="5" customWidth="1"/>
    <col min="7" max="7" width="10" style="5" bestFit="1" customWidth="1"/>
    <col min="8" max="8" width="10" style="6" customWidth="1"/>
    <col min="9" max="9" width="2.85546875" style="6" customWidth="1"/>
    <col min="10" max="11" width="10" style="6" customWidth="1"/>
    <col min="12" max="12" width="9" style="6" customWidth="1"/>
    <col min="13" max="13" width="10" style="6" customWidth="1"/>
    <col min="14" max="14" width="2.85546875" style="6" customWidth="1"/>
    <col min="15" max="16" width="10" style="5" bestFit="1" customWidth="1"/>
    <col min="17" max="17" width="9" style="5" bestFit="1" customWidth="1"/>
    <col min="18" max="18" width="10" style="5" bestFit="1" customWidth="1"/>
    <col min="19" max="19" width="10.7109375" style="5" bestFit="1"/>
    <col min="20" max="20" width="10.7109375" style="11"/>
    <col min="21" max="21" width="25.85546875" style="5" customWidth="1"/>
    <col min="22" max="22" width="10" style="5" bestFit="1" customWidth="1"/>
    <col min="23" max="23" width="12" style="5" bestFit="1" customWidth="1"/>
    <col min="24" max="16384" width="10.7109375" style="5"/>
  </cols>
  <sheetData>
    <row r="1" spans="1:20">
      <c r="A1" s="15" t="s">
        <v>980</v>
      </c>
    </row>
    <row r="2" spans="1:20">
      <c r="A2" s="13" t="s">
        <v>476</v>
      </c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0" customFormat="1" ht="65">
      <c r="A3" s="12" t="s">
        <v>13</v>
      </c>
      <c r="B3" t="s">
        <v>979</v>
      </c>
      <c r="C3" t="s">
        <v>148</v>
      </c>
      <c r="D3" t="s">
        <v>149</v>
      </c>
      <c r="E3" t="s">
        <v>150</v>
      </c>
      <c r="F3" s="4"/>
      <c r="G3" t="s">
        <v>141</v>
      </c>
      <c r="H3" s="2" t="s">
        <v>142</v>
      </c>
      <c r="I3" s="3"/>
      <c r="J3" s="2" t="s">
        <v>131</v>
      </c>
      <c r="K3" s="2" t="s">
        <v>132</v>
      </c>
      <c r="L3" s="2" t="s">
        <v>133</v>
      </c>
      <c r="M3" s="2" t="s">
        <v>130</v>
      </c>
      <c r="N3" s="3"/>
      <c r="O3" s="1" t="s">
        <v>146</v>
      </c>
      <c r="P3" s="1" t="s">
        <v>143</v>
      </c>
      <c r="Q3" s="1" t="s">
        <v>144</v>
      </c>
      <c r="R3" s="1" t="s">
        <v>145</v>
      </c>
      <c r="S3" s="1" t="s">
        <v>147</v>
      </c>
      <c r="T3" s="10"/>
    </row>
    <row r="4" spans="1:20" customFormat="1">
      <c r="A4" s="12" t="s">
        <v>253</v>
      </c>
      <c r="B4" t="s">
        <v>551</v>
      </c>
      <c r="C4" t="s">
        <v>158</v>
      </c>
      <c r="D4" t="s">
        <v>127</v>
      </c>
      <c r="E4" t="s">
        <v>152</v>
      </c>
      <c r="F4" s="4"/>
      <c r="G4" s="7">
        <v>21089740</v>
      </c>
      <c r="H4" s="7">
        <v>20731417</v>
      </c>
      <c r="I4" s="8"/>
      <c r="J4" s="7">
        <v>4970153</v>
      </c>
      <c r="K4" s="7">
        <v>14787327</v>
      </c>
      <c r="L4" s="7">
        <v>973937</v>
      </c>
      <c r="M4" s="7">
        <v>15761264</v>
      </c>
      <c r="N4" s="8"/>
      <c r="O4" s="7">
        <f t="shared" ref="O4:O67" si="0">H4-R4</f>
        <v>4731671</v>
      </c>
      <c r="P4" s="7">
        <v>14853754</v>
      </c>
      <c r="Q4" s="7">
        <v>1145992</v>
      </c>
      <c r="R4" s="7">
        <v>15999746</v>
      </c>
      <c r="S4" s="9">
        <v>1.150341050011198E-2</v>
      </c>
      <c r="T4" s="10"/>
    </row>
    <row r="5" spans="1:20" customFormat="1">
      <c r="A5" s="12" t="s">
        <v>383</v>
      </c>
      <c r="B5" t="s">
        <v>566</v>
      </c>
      <c r="C5" t="s">
        <v>123</v>
      </c>
      <c r="D5" t="s">
        <v>127</v>
      </c>
      <c r="E5" t="s">
        <v>151</v>
      </c>
      <c r="F5" s="4"/>
      <c r="G5" s="7">
        <v>13722724</v>
      </c>
      <c r="H5" s="7">
        <v>13697856</v>
      </c>
      <c r="I5" s="8"/>
      <c r="J5" s="7">
        <v>3613940</v>
      </c>
      <c r="K5" s="7">
        <v>9412484</v>
      </c>
      <c r="L5" s="7">
        <v>671432</v>
      </c>
      <c r="M5" s="7">
        <v>10083916</v>
      </c>
      <c r="N5" s="8"/>
      <c r="O5" s="7">
        <f t="shared" si="0"/>
        <v>3456479</v>
      </c>
      <c r="P5" s="7">
        <v>9459269</v>
      </c>
      <c r="Q5" s="7">
        <v>782108</v>
      </c>
      <c r="R5" s="7">
        <v>10241377</v>
      </c>
      <c r="S5" s="9">
        <v>1.1495302622541805E-2</v>
      </c>
      <c r="T5" s="10"/>
    </row>
    <row r="6" spans="1:20" customFormat="1">
      <c r="A6" s="12" t="s">
        <v>235</v>
      </c>
      <c r="C6" t="s">
        <v>158</v>
      </c>
      <c r="D6" t="s">
        <v>127</v>
      </c>
      <c r="E6" t="s">
        <v>151</v>
      </c>
      <c r="F6" s="4"/>
      <c r="G6" s="7">
        <v>12973398</v>
      </c>
      <c r="H6" s="7">
        <v>12918860</v>
      </c>
      <c r="I6" s="8"/>
      <c r="J6" s="7">
        <v>3783850</v>
      </c>
      <c r="K6" s="7">
        <v>8499223</v>
      </c>
      <c r="L6" s="7">
        <v>635787</v>
      </c>
      <c r="M6" s="7">
        <v>9135010</v>
      </c>
      <c r="N6" s="8"/>
      <c r="O6" s="7">
        <f t="shared" si="0"/>
        <v>3642333</v>
      </c>
      <c r="P6" s="7">
        <v>8544188</v>
      </c>
      <c r="Q6" s="7">
        <v>732339</v>
      </c>
      <c r="R6" s="7">
        <v>9276527</v>
      </c>
      <c r="S6" s="9">
        <v>1.095429472879186E-2</v>
      </c>
      <c r="T6" s="10"/>
    </row>
    <row r="7" spans="1:20" customFormat="1">
      <c r="A7" s="12" t="s">
        <v>38</v>
      </c>
      <c r="C7" t="s">
        <v>157</v>
      </c>
      <c r="D7" t="s">
        <v>127</v>
      </c>
      <c r="E7" t="s">
        <v>152</v>
      </c>
      <c r="F7" s="4"/>
      <c r="G7" s="7">
        <v>19030352</v>
      </c>
      <c r="H7" s="7">
        <v>18940881</v>
      </c>
      <c r="I7" s="8"/>
      <c r="J7" s="7">
        <v>4711165</v>
      </c>
      <c r="K7" s="7">
        <v>13250530</v>
      </c>
      <c r="L7" s="7">
        <v>979186</v>
      </c>
      <c r="M7" s="7">
        <v>14229716</v>
      </c>
      <c r="N7" s="8"/>
      <c r="O7" s="7">
        <f t="shared" si="0"/>
        <v>4499707</v>
      </c>
      <c r="P7" s="7">
        <v>13311550</v>
      </c>
      <c r="Q7" s="7">
        <v>1129624</v>
      </c>
      <c r="R7" s="7">
        <v>14441174</v>
      </c>
      <c r="S7" s="9">
        <v>1.1164105830135357E-2</v>
      </c>
      <c r="T7" s="10"/>
    </row>
    <row r="8" spans="1:20" customFormat="1">
      <c r="A8" s="12" t="s">
        <v>53</v>
      </c>
      <c r="C8" t="s">
        <v>158</v>
      </c>
      <c r="D8" t="s">
        <v>127</v>
      </c>
      <c r="E8" t="s">
        <v>152</v>
      </c>
      <c r="F8" s="4"/>
      <c r="G8" s="7">
        <v>28645220</v>
      </c>
      <c r="H8" s="7">
        <v>28505492</v>
      </c>
      <c r="I8" s="8"/>
      <c r="J8" s="7">
        <v>7611167</v>
      </c>
      <c r="K8" s="7">
        <v>19487624</v>
      </c>
      <c r="L8" s="7">
        <v>1406701</v>
      </c>
      <c r="M8" s="7">
        <v>20894325</v>
      </c>
      <c r="N8" s="8"/>
      <c r="O8" s="7">
        <f t="shared" si="0"/>
        <v>7290457</v>
      </c>
      <c r="P8" s="7">
        <v>19591457</v>
      </c>
      <c r="Q8" s="7">
        <v>1623578</v>
      </c>
      <c r="R8" s="7">
        <v>21215035</v>
      </c>
      <c r="S8" s="9">
        <v>1.1250814404466339E-2</v>
      </c>
      <c r="T8" s="10"/>
    </row>
    <row r="9" spans="1:20" customFormat="1">
      <c r="A9" s="12" t="s">
        <v>41</v>
      </c>
      <c r="C9" t="s">
        <v>157</v>
      </c>
      <c r="D9" t="s">
        <v>127</v>
      </c>
      <c r="E9" t="s">
        <v>151</v>
      </c>
      <c r="F9" s="4"/>
      <c r="G9" s="7">
        <v>10406702</v>
      </c>
      <c r="H9" s="7">
        <v>10352507</v>
      </c>
      <c r="I9" s="8"/>
      <c r="J9" s="7">
        <v>2960586</v>
      </c>
      <c r="K9" s="7">
        <v>6835442</v>
      </c>
      <c r="L9" s="7">
        <v>556479</v>
      </c>
      <c r="M9" s="7">
        <v>7391921</v>
      </c>
      <c r="N9" s="8"/>
      <c r="O9" s="7">
        <f t="shared" si="0"/>
        <v>2852078</v>
      </c>
      <c r="P9" s="7">
        <v>6869965</v>
      </c>
      <c r="Q9" s="7">
        <v>630464</v>
      </c>
      <c r="R9" s="7">
        <v>7500429</v>
      </c>
      <c r="S9" s="9">
        <v>1.0481325924242311E-2</v>
      </c>
      <c r="T9" s="10"/>
    </row>
    <row r="10" spans="1:20" customFormat="1">
      <c r="A10" s="12" t="s">
        <v>233</v>
      </c>
      <c r="C10" t="s">
        <v>158</v>
      </c>
      <c r="D10" t="s">
        <v>127</v>
      </c>
      <c r="E10" t="s">
        <v>151</v>
      </c>
      <c r="F10" s="4"/>
      <c r="G10" s="7">
        <v>13967214</v>
      </c>
      <c r="H10" s="7">
        <v>13879831</v>
      </c>
      <c r="I10" s="8"/>
      <c r="J10" s="7">
        <v>3879744</v>
      </c>
      <c r="K10" s="7">
        <v>9316158</v>
      </c>
      <c r="L10" s="7">
        <v>683929</v>
      </c>
      <c r="M10" s="7">
        <v>10000087</v>
      </c>
      <c r="N10" s="8"/>
      <c r="O10" s="7">
        <f t="shared" si="0"/>
        <v>3732518</v>
      </c>
      <c r="P10" s="7">
        <v>9359502</v>
      </c>
      <c r="Q10" s="7">
        <v>787811</v>
      </c>
      <c r="R10" s="7">
        <v>10147313</v>
      </c>
      <c r="S10" s="9">
        <v>1.0607189669672491E-2</v>
      </c>
      <c r="T10" s="10"/>
    </row>
    <row r="11" spans="1:20" customFormat="1">
      <c r="A11" s="12" t="s">
        <v>231</v>
      </c>
      <c r="C11" t="s">
        <v>158</v>
      </c>
      <c r="D11" t="s">
        <v>127</v>
      </c>
      <c r="E11" t="s">
        <v>151</v>
      </c>
      <c r="F11" s="4"/>
      <c r="G11" s="7">
        <v>14567546</v>
      </c>
      <c r="H11" s="7">
        <v>14479840</v>
      </c>
      <c r="I11" s="8"/>
      <c r="J11" s="7">
        <v>3635948</v>
      </c>
      <c r="K11" s="7">
        <v>10102434</v>
      </c>
      <c r="L11" s="7">
        <v>741458</v>
      </c>
      <c r="M11" s="7">
        <v>10843892</v>
      </c>
      <c r="N11" s="8"/>
      <c r="O11" s="7">
        <f t="shared" si="0"/>
        <v>3467649</v>
      </c>
      <c r="P11" s="7">
        <v>10154709</v>
      </c>
      <c r="Q11" s="7">
        <v>857482</v>
      </c>
      <c r="R11" s="7">
        <v>11012191</v>
      </c>
      <c r="S11" s="9">
        <v>1.1622987546823721E-2</v>
      </c>
      <c r="T11" s="10"/>
    </row>
    <row r="12" spans="1:20" customFormat="1">
      <c r="A12" s="12" t="s">
        <v>58</v>
      </c>
      <c r="C12" t="s">
        <v>158</v>
      </c>
      <c r="D12" t="s">
        <v>127</v>
      </c>
      <c r="E12" t="s">
        <v>152</v>
      </c>
      <c r="F12" s="4"/>
      <c r="G12" s="7">
        <v>25618132</v>
      </c>
      <c r="H12" s="7">
        <v>25509945</v>
      </c>
      <c r="I12" s="8"/>
      <c r="J12" s="7">
        <v>6186688</v>
      </c>
      <c r="K12" s="7">
        <v>17949335</v>
      </c>
      <c r="L12" s="7">
        <v>1373922</v>
      </c>
      <c r="M12" s="7">
        <v>19323257</v>
      </c>
      <c r="N12" s="8"/>
      <c r="O12" s="7">
        <f t="shared" si="0"/>
        <v>5909584</v>
      </c>
      <c r="P12" s="7">
        <v>18022824</v>
      </c>
      <c r="Q12" s="7">
        <v>1577537</v>
      </c>
      <c r="R12" s="7">
        <v>19600361</v>
      </c>
      <c r="S12" s="9">
        <v>1.0862587120434796E-2</v>
      </c>
      <c r="T12" s="10"/>
    </row>
    <row r="13" spans="1:20" customFormat="1">
      <c r="A13" s="12" t="s">
        <v>306</v>
      </c>
      <c r="C13" t="s">
        <v>122</v>
      </c>
      <c r="D13" t="s">
        <v>127</v>
      </c>
      <c r="E13" t="s">
        <v>151</v>
      </c>
      <c r="F13" s="4"/>
      <c r="G13" s="7">
        <v>9501776</v>
      </c>
      <c r="H13" s="7">
        <v>9377151</v>
      </c>
      <c r="I13" s="8"/>
      <c r="J13" s="7">
        <v>2272361</v>
      </c>
      <c r="K13" s="7">
        <v>6586428</v>
      </c>
      <c r="L13" s="7">
        <v>518362</v>
      </c>
      <c r="M13" s="7">
        <v>7104790</v>
      </c>
      <c r="N13" s="8"/>
      <c r="O13" s="7">
        <f t="shared" si="0"/>
        <v>2167577</v>
      </c>
      <c r="P13" s="7">
        <v>6616857</v>
      </c>
      <c r="Q13" s="7">
        <v>592717</v>
      </c>
      <c r="R13" s="7">
        <v>7209574</v>
      </c>
      <c r="S13" s="9">
        <v>1.1174396146548136E-2</v>
      </c>
      <c r="T13" s="10"/>
    </row>
    <row r="14" spans="1:20" customFormat="1">
      <c r="A14" s="12" t="s">
        <v>34</v>
      </c>
      <c r="C14" t="s">
        <v>157</v>
      </c>
      <c r="D14" t="s">
        <v>127</v>
      </c>
      <c r="E14" t="s">
        <v>151</v>
      </c>
      <c r="F14" s="4"/>
      <c r="G14" s="7">
        <v>15080634</v>
      </c>
      <c r="H14" s="7">
        <v>15010369</v>
      </c>
      <c r="I14" s="8"/>
      <c r="J14" s="7">
        <v>3718636</v>
      </c>
      <c r="K14" s="7">
        <v>10496293</v>
      </c>
      <c r="L14" s="7">
        <v>795440</v>
      </c>
      <c r="M14" s="7">
        <v>11291733</v>
      </c>
      <c r="N14" s="8"/>
      <c r="O14" s="7">
        <f t="shared" si="0"/>
        <v>3546164</v>
      </c>
      <c r="P14" s="7">
        <v>10552798</v>
      </c>
      <c r="Q14" s="7">
        <v>911407</v>
      </c>
      <c r="R14" s="7">
        <v>11464205</v>
      </c>
      <c r="S14" s="9">
        <v>1.149019054761412E-2</v>
      </c>
      <c r="T14" s="10"/>
    </row>
    <row r="15" spans="1:20" customFormat="1">
      <c r="A15" s="12" t="s">
        <v>289</v>
      </c>
      <c r="C15" t="s">
        <v>122</v>
      </c>
      <c r="D15" t="s">
        <v>127</v>
      </c>
      <c r="E15" t="s">
        <v>152</v>
      </c>
      <c r="F15" s="4"/>
      <c r="G15" s="7">
        <v>26010674</v>
      </c>
      <c r="H15" s="7">
        <v>25864701</v>
      </c>
      <c r="I15" s="8"/>
      <c r="J15" s="7">
        <v>8516334</v>
      </c>
      <c r="K15" s="7">
        <v>16113840</v>
      </c>
      <c r="L15" s="7">
        <v>1234527</v>
      </c>
      <c r="M15" s="7">
        <v>17348367</v>
      </c>
      <c r="N15" s="8"/>
      <c r="O15" s="7">
        <f t="shared" si="0"/>
        <v>8249695</v>
      </c>
      <c r="P15" s="7">
        <v>16197737</v>
      </c>
      <c r="Q15" s="7">
        <v>1417269</v>
      </c>
      <c r="R15" s="7">
        <v>17615006</v>
      </c>
      <c r="S15" s="9">
        <v>1.0308992166582556E-2</v>
      </c>
      <c r="T15" s="10"/>
    </row>
    <row r="16" spans="1:20" customFormat="1">
      <c r="A16" s="12" t="s">
        <v>30</v>
      </c>
      <c r="C16" t="s">
        <v>157</v>
      </c>
      <c r="D16" t="s">
        <v>127</v>
      </c>
      <c r="E16" t="s">
        <v>152</v>
      </c>
      <c r="F16" s="4"/>
      <c r="G16" s="7">
        <v>23525048</v>
      </c>
      <c r="H16" s="7">
        <v>23442979</v>
      </c>
      <c r="I16" s="8"/>
      <c r="J16" s="7">
        <v>5889519</v>
      </c>
      <c r="K16" s="7">
        <v>16340483</v>
      </c>
      <c r="L16" s="7">
        <v>1212977</v>
      </c>
      <c r="M16" s="7">
        <v>17553460</v>
      </c>
      <c r="N16" s="8"/>
      <c r="O16" s="7">
        <f t="shared" si="0"/>
        <v>5634332</v>
      </c>
      <c r="P16" s="7">
        <v>16413523</v>
      </c>
      <c r="Q16" s="7">
        <v>1395124</v>
      </c>
      <c r="R16" s="7">
        <v>17808647</v>
      </c>
      <c r="S16" s="9">
        <v>1.088543397151019E-2</v>
      </c>
      <c r="T16" s="10"/>
    </row>
    <row r="17" spans="1:20" customFormat="1">
      <c r="A17" s="12" t="s">
        <v>315</v>
      </c>
      <c r="C17" t="s">
        <v>122</v>
      </c>
      <c r="D17" t="s">
        <v>127</v>
      </c>
      <c r="E17" t="s">
        <v>151</v>
      </c>
      <c r="F17" s="4"/>
      <c r="G17" s="7">
        <v>11105770</v>
      </c>
      <c r="H17" s="7">
        <v>11043543</v>
      </c>
      <c r="I17" s="8"/>
      <c r="J17" s="7">
        <v>2786933</v>
      </c>
      <c r="K17" s="7">
        <v>7681765</v>
      </c>
      <c r="L17" s="7">
        <v>574845</v>
      </c>
      <c r="M17" s="7">
        <v>8256610</v>
      </c>
      <c r="N17" s="8"/>
      <c r="O17" s="7">
        <f t="shared" si="0"/>
        <v>2669644</v>
      </c>
      <c r="P17" s="7">
        <v>7715904</v>
      </c>
      <c r="Q17" s="7">
        <v>657995</v>
      </c>
      <c r="R17" s="7">
        <v>8373899</v>
      </c>
      <c r="S17" s="9">
        <v>1.0620595220211484E-2</v>
      </c>
      <c r="T17" s="10"/>
    </row>
    <row r="18" spans="1:20" customFormat="1">
      <c r="A18" s="12" t="s">
        <v>309</v>
      </c>
      <c r="C18" t="s">
        <v>122</v>
      </c>
      <c r="D18" t="s">
        <v>127</v>
      </c>
      <c r="E18" t="s">
        <v>151</v>
      </c>
      <c r="F18" s="4"/>
      <c r="G18" s="7">
        <v>8980528</v>
      </c>
      <c r="H18" s="7">
        <v>8885538</v>
      </c>
      <c r="I18" s="8"/>
      <c r="J18" s="7">
        <v>2146046</v>
      </c>
      <c r="K18" s="7">
        <v>6289923</v>
      </c>
      <c r="L18" s="7">
        <v>449569</v>
      </c>
      <c r="M18" s="7">
        <v>6739492</v>
      </c>
      <c r="N18" s="8"/>
      <c r="O18" s="7">
        <f t="shared" si="0"/>
        <v>2050565</v>
      </c>
      <c r="P18" s="7">
        <v>6312639</v>
      </c>
      <c r="Q18" s="7">
        <v>522334</v>
      </c>
      <c r="R18" s="7">
        <v>6834973</v>
      </c>
      <c r="S18" s="9">
        <v>1.0745663346440025E-2</v>
      </c>
      <c r="T18" s="10"/>
    </row>
    <row r="19" spans="1:20" customFormat="1">
      <c r="A19" s="12" t="s">
        <v>301</v>
      </c>
      <c r="C19" t="s">
        <v>122</v>
      </c>
      <c r="D19" t="s">
        <v>127</v>
      </c>
      <c r="E19" t="s">
        <v>152</v>
      </c>
      <c r="F19" s="4"/>
      <c r="G19" s="7">
        <v>22355646</v>
      </c>
      <c r="H19" s="7">
        <v>22265384</v>
      </c>
      <c r="I19" s="8"/>
      <c r="J19" s="7">
        <v>6027092</v>
      </c>
      <c r="K19" s="7">
        <v>15119851</v>
      </c>
      <c r="L19" s="7">
        <v>1118441</v>
      </c>
      <c r="M19" s="7">
        <v>16238292</v>
      </c>
      <c r="N19" s="8"/>
      <c r="O19" s="7">
        <f t="shared" si="0"/>
        <v>5782439</v>
      </c>
      <c r="P19" s="7">
        <v>15194701</v>
      </c>
      <c r="Q19" s="7">
        <v>1288244</v>
      </c>
      <c r="R19" s="7">
        <v>16482945</v>
      </c>
      <c r="S19" s="9">
        <v>1.0988043143563121E-2</v>
      </c>
      <c r="T19" s="10"/>
    </row>
    <row r="20" spans="1:20" customFormat="1">
      <c r="A20" s="12" t="s">
        <v>161</v>
      </c>
      <c r="C20" t="s">
        <v>122</v>
      </c>
      <c r="D20" t="s">
        <v>127</v>
      </c>
      <c r="E20" t="s">
        <v>152</v>
      </c>
      <c r="F20" s="4"/>
      <c r="G20" s="7">
        <v>88013816</v>
      </c>
      <c r="H20" s="7">
        <v>85608095</v>
      </c>
      <c r="I20" s="8"/>
      <c r="J20" s="7">
        <v>29859206</v>
      </c>
      <c r="K20" s="7">
        <v>51869783</v>
      </c>
      <c r="L20" s="7">
        <v>3879106</v>
      </c>
      <c r="M20" s="7">
        <v>55748889</v>
      </c>
      <c r="N20" s="8"/>
      <c r="O20" s="7">
        <f t="shared" si="0"/>
        <v>29022161</v>
      </c>
      <c r="P20" s="7">
        <v>52133321</v>
      </c>
      <c r="Q20" s="7">
        <v>4452613</v>
      </c>
      <c r="R20" s="7">
        <v>56585934</v>
      </c>
      <c r="S20" s="9">
        <v>9.7776384347765238E-3</v>
      </c>
      <c r="T20" s="10"/>
    </row>
    <row r="21" spans="1:20" customFormat="1">
      <c r="A21" s="12" t="s">
        <v>45</v>
      </c>
      <c r="C21" t="s">
        <v>158</v>
      </c>
      <c r="D21" t="s">
        <v>127</v>
      </c>
      <c r="E21" t="s">
        <v>152</v>
      </c>
      <c r="F21" s="4"/>
      <c r="G21" s="7">
        <v>17838186</v>
      </c>
      <c r="H21" s="7">
        <v>17540893</v>
      </c>
      <c r="I21" s="8"/>
      <c r="J21" s="7">
        <v>4583451</v>
      </c>
      <c r="K21" s="7">
        <v>12033919</v>
      </c>
      <c r="L21" s="7">
        <v>923523</v>
      </c>
      <c r="M21" s="7">
        <v>12957442</v>
      </c>
      <c r="N21" s="8"/>
      <c r="O21" s="7">
        <f t="shared" si="0"/>
        <v>4383655</v>
      </c>
      <c r="P21" s="7">
        <v>12099252</v>
      </c>
      <c r="Q21" s="7">
        <v>1057986</v>
      </c>
      <c r="R21" s="7">
        <v>13157238</v>
      </c>
      <c r="S21" s="9">
        <v>1.1390298088016386E-2</v>
      </c>
      <c r="T21" s="10"/>
    </row>
    <row r="22" spans="1:20" customFormat="1">
      <c r="A22" s="12" t="s">
        <v>305</v>
      </c>
      <c r="C22" t="s">
        <v>122</v>
      </c>
      <c r="D22" t="s">
        <v>127</v>
      </c>
      <c r="E22" t="s">
        <v>152</v>
      </c>
      <c r="F22" s="4"/>
      <c r="G22" s="7">
        <v>21952744</v>
      </c>
      <c r="H22" s="7">
        <v>21624619</v>
      </c>
      <c r="I22" s="8"/>
      <c r="J22" s="7">
        <v>5934803</v>
      </c>
      <c r="K22" s="7">
        <v>14612654</v>
      </c>
      <c r="L22" s="7">
        <v>1077162</v>
      </c>
      <c r="M22" s="7">
        <v>15689816</v>
      </c>
      <c r="N22" s="8"/>
      <c r="O22" s="7">
        <f t="shared" si="0"/>
        <v>5698410</v>
      </c>
      <c r="P22" s="7">
        <v>14683275</v>
      </c>
      <c r="Q22" s="7">
        <v>1242934</v>
      </c>
      <c r="R22" s="7">
        <v>15926209</v>
      </c>
      <c r="S22" s="9">
        <v>1.0931660807526829E-2</v>
      </c>
      <c r="T22" s="10"/>
    </row>
    <row r="23" spans="1:20" customFormat="1">
      <c r="A23" s="12" t="s">
        <v>160</v>
      </c>
      <c r="C23" t="s">
        <v>122</v>
      </c>
      <c r="D23" t="s">
        <v>127</v>
      </c>
      <c r="E23" t="s">
        <v>152</v>
      </c>
      <c r="F23" s="4"/>
      <c r="G23" s="7">
        <v>22970278</v>
      </c>
      <c r="H23" s="7">
        <v>22862204</v>
      </c>
      <c r="I23" s="8"/>
      <c r="J23" s="7">
        <v>7689341</v>
      </c>
      <c r="K23" s="7">
        <v>14136473</v>
      </c>
      <c r="L23" s="7">
        <v>1036390</v>
      </c>
      <c r="M23" s="7">
        <v>15172863</v>
      </c>
      <c r="N23" s="8"/>
      <c r="O23" s="7">
        <f t="shared" si="0"/>
        <v>7446837</v>
      </c>
      <c r="P23" s="7">
        <v>14221738</v>
      </c>
      <c r="Q23" s="7">
        <v>1193629</v>
      </c>
      <c r="R23" s="7">
        <v>15415367</v>
      </c>
      <c r="S23" s="9">
        <v>1.0607201300452047E-2</v>
      </c>
      <c r="T23" s="10"/>
    </row>
    <row r="24" spans="1:20" customFormat="1">
      <c r="A24" s="12" t="s">
        <v>302</v>
      </c>
      <c r="C24" t="s">
        <v>122</v>
      </c>
      <c r="D24" t="s">
        <v>127</v>
      </c>
      <c r="E24" t="s">
        <v>152</v>
      </c>
      <c r="F24" s="4"/>
      <c r="G24" s="7">
        <v>16471464</v>
      </c>
      <c r="H24" s="7">
        <v>16406227</v>
      </c>
      <c r="I24" s="8"/>
      <c r="J24" s="7">
        <v>4276658</v>
      </c>
      <c r="K24" s="7">
        <v>11263567</v>
      </c>
      <c r="L24" s="7">
        <v>866002</v>
      </c>
      <c r="M24" s="7">
        <v>12129569</v>
      </c>
      <c r="N24" s="8"/>
      <c r="O24" s="7">
        <f t="shared" si="0"/>
        <v>4089926</v>
      </c>
      <c r="P24" s="7">
        <v>11321216</v>
      </c>
      <c r="Q24" s="7">
        <v>995085</v>
      </c>
      <c r="R24" s="7">
        <v>12316301</v>
      </c>
      <c r="S24" s="9">
        <v>1.1381775956165912E-2</v>
      </c>
      <c r="T24" s="10"/>
    </row>
    <row r="25" spans="1:20" customFormat="1">
      <c r="A25" s="12" t="s">
        <v>307</v>
      </c>
      <c r="C25" t="s">
        <v>122</v>
      </c>
      <c r="D25" t="s">
        <v>127</v>
      </c>
      <c r="E25" t="s">
        <v>152</v>
      </c>
      <c r="F25" s="4"/>
      <c r="G25" s="7">
        <v>16120682</v>
      </c>
      <c r="H25" s="7">
        <v>16069173</v>
      </c>
      <c r="I25" s="8"/>
      <c r="J25" s="7">
        <v>3984636</v>
      </c>
      <c r="K25" s="7">
        <v>11307626</v>
      </c>
      <c r="L25" s="7">
        <v>776911</v>
      </c>
      <c r="M25" s="7">
        <v>12084537</v>
      </c>
      <c r="N25" s="8"/>
      <c r="O25" s="7">
        <f t="shared" si="0"/>
        <v>3802561</v>
      </c>
      <c r="P25" s="7">
        <v>11361174</v>
      </c>
      <c r="Q25" s="7">
        <v>905438</v>
      </c>
      <c r="R25" s="7">
        <v>12266612</v>
      </c>
      <c r="S25" s="9">
        <v>1.1330701337274793E-2</v>
      </c>
      <c r="T25" s="10"/>
    </row>
    <row r="26" spans="1:20" customFormat="1">
      <c r="A26" s="12" t="s">
        <v>515</v>
      </c>
      <c r="B26" t="s">
        <v>697</v>
      </c>
      <c r="C26" t="s">
        <v>158</v>
      </c>
      <c r="D26" t="s">
        <v>127</v>
      </c>
      <c r="E26" t="s">
        <v>151</v>
      </c>
      <c r="F26" s="4"/>
      <c r="G26" s="7">
        <v>15353392</v>
      </c>
      <c r="H26" s="7">
        <v>15045730</v>
      </c>
      <c r="I26" s="8"/>
      <c r="J26" s="7">
        <v>3576719</v>
      </c>
      <c r="K26" s="7">
        <v>10665693</v>
      </c>
      <c r="L26" s="7">
        <v>803318</v>
      </c>
      <c r="M26" s="7">
        <v>11469011</v>
      </c>
      <c r="N26" s="8"/>
      <c r="O26" s="7">
        <f t="shared" si="0"/>
        <v>3389587</v>
      </c>
      <c r="P26" s="7">
        <v>10730658</v>
      </c>
      <c r="Q26" s="7">
        <v>925485</v>
      </c>
      <c r="R26" s="7">
        <v>11656143</v>
      </c>
      <c r="S26" s="9">
        <v>1.2437548726449298E-2</v>
      </c>
      <c r="T26" s="10"/>
    </row>
    <row r="27" spans="1:20" customFormat="1">
      <c r="A27" s="12" t="s">
        <v>461</v>
      </c>
      <c r="B27" t="s">
        <v>719</v>
      </c>
      <c r="C27" t="s">
        <v>157</v>
      </c>
      <c r="D27" t="s">
        <v>127</v>
      </c>
      <c r="E27" t="s">
        <v>152</v>
      </c>
      <c r="F27" s="4"/>
      <c r="G27" s="7">
        <v>22699980</v>
      </c>
      <c r="H27" s="7">
        <v>22351933</v>
      </c>
      <c r="I27" s="8"/>
      <c r="J27" s="7">
        <v>5774329</v>
      </c>
      <c r="K27" s="7">
        <v>15418592</v>
      </c>
      <c r="L27" s="7">
        <v>1159012</v>
      </c>
      <c r="M27" s="7">
        <v>16577604</v>
      </c>
      <c r="N27" s="8"/>
      <c r="O27" s="7">
        <f t="shared" si="0"/>
        <v>5509394</v>
      </c>
      <c r="P27" s="7">
        <v>15505687</v>
      </c>
      <c r="Q27" s="7">
        <v>1336852</v>
      </c>
      <c r="R27" s="7">
        <v>16842539</v>
      </c>
      <c r="S27" s="9">
        <v>1.1852889859682381E-2</v>
      </c>
      <c r="T27" s="10"/>
    </row>
    <row r="28" spans="1:20" customFormat="1">
      <c r="A28" s="12" t="s">
        <v>462</v>
      </c>
      <c r="B28" t="s">
        <v>802</v>
      </c>
      <c r="C28" t="s">
        <v>157</v>
      </c>
      <c r="D28" t="s">
        <v>127</v>
      </c>
      <c r="E28" t="s">
        <v>152</v>
      </c>
      <c r="F28" s="4"/>
      <c r="G28" s="7">
        <v>19917018</v>
      </c>
      <c r="H28" s="7">
        <v>19706934</v>
      </c>
      <c r="I28" s="8"/>
      <c r="J28" s="7">
        <v>5308184</v>
      </c>
      <c r="K28" s="7">
        <v>13353007</v>
      </c>
      <c r="L28" s="7">
        <v>1045743</v>
      </c>
      <c r="M28" s="7">
        <v>14398750</v>
      </c>
      <c r="N28" s="8"/>
      <c r="O28" s="7">
        <f t="shared" si="0"/>
        <v>5087911</v>
      </c>
      <c r="P28" s="7">
        <v>13420244</v>
      </c>
      <c r="Q28" s="7">
        <v>1198779</v>
      </c>
      <c r="R28" s="7">
        <v>14619023</v>
      </c>
      <c r="S28" s="9">
        <v>1.1177436327741291E-2</v>
      </c>
      <c r="T28" s="10"/>
    </row>
    <row r="29" spans="1:20" customFormat="1">
      <c r="A29" s="12" t="s">
        <v>274</v>
      </c>
      <c r="B29" t="s">
        <v>808</v>
      </c>
      <c r="C29" t="s">
        <v>158</v>
      </c>
      <c r="D29" t="s">
        <v>127</v>
      </c>
      <c r="E29" t="s">
        <v>152</v>
      </c>
      <c r="F29" s="4"/>
      <c r="G29" s="7">
        <v>27125298</v>
      </c>
      <c r="H29" s="7">
        <v>27016628</v>
      </c>
      <c r="I29" s="8"/>
      <c r="J29" s="7">
        <v>7048401</v>
      </c>
      <c r="K29" s="7">
        <v>18615715</v>
      </c>
      <c r="L29" s="7">
        <v>1352512</v>
      </c>
      <c r="M29" s="7">
        <v>19968227</v>
      </c>
      <c r="N29" s="8"/>
      <c r="O29" s="7">
        <f t="shared" si="0"/>
        <v>6739450</v>
      </c>
      <c r="P29" s="7">
        <v>18713497</v>
      </c>
      <c r="Q29" s="7">
        <v>1563681</v>
      </c>
      <c r="R29" s="7">
        <v>20277178</v>
      </c>
      <c r="S29" s="9">
        <v>1.1435587002197314E-2</v>
      </c>
      <c r="T29" s="10"/>
    </row>
    <row r="30" spans="1:20" customFormat="1">
      <c r="A30" s="12" t="s">
        <v>110</v>
      </c>
      <c r="B30" t="s">
        <v>817</v>
      </c>
      <c r="C30" t="s">
        <v>155</v>
      </c>
      <c r="D30" t="s">
        <v>128</v>
      </c>
      <c r="E30" t="s">
        <v>152</v>
      </c>
      <c r="F30" s="4"/>
      <c r="G30" s="7">
        <v>17994000</v>
      </c>
      <c r="H30" s="7">
        <v>17585698</v>
      </c>
      <c r="I30" s="8"/>
      <c r="J30" s="7">
        <v>4320698</v>
      </c>
      <c r="K30" s="7">
        <v>12315099</v>
      </c>
      <c r="L30" s="7">
        <v>949901</v>
      </c>
      <c r="M30" s="7">
        <v>13265000</v>
      </c>
      <c r="N30" s="8"/>
      <c r="O30" s="7">
        <f t="shared" si="0"/>
        <v>4111700</v>
      </c>
      <c r="P30" s="7">
        <v>12377898</v>
      </c>
      <c r="Q30" s="7">
        <v>1096100</v>
      </c>
      <c r="R30" s="7">
        <v>13473998</v>
      </c>
      <c r="S30" s="9">
        <v>1.1884543906076404E-2</v>
      </c>
      <c r="T30" s="10"/>
    </row>
    <row r="31" spans="1:20" customFormat="1">
      <c r="A31" s="12" t="s">
        <v>344</v>
      </c>
      <c r="B31" t="s">
        <v>825</v>
      </c>
      <c r="C31" t="s">
        <v>123</v>
      </c>
      <c r="D31" t="s">
        <v>128</v>
      </c>
      <c r="E31" t="s">
        <v>151</v>
      </c>
      <c r="F31" s="4"/>
      <c r="G31" s="7">
        <v>16179898</v>
      </c>
      <c r="H31" s="7">
        <v>15739803</v>
      </c>
      <c r="I31" s="8"/>
      <c r="J31" s="7">
        <v>3577465</v>
      </c>
      <c r="K31" s="7">
        <v>11364689</v>
      </c>
      <c r="L31" s="7">
        <v>797649</v>
      </c>
      <c r="M31" s="7">
        <v>12162338</v>
      </c>
      <c r="N31" s="8"/>
      <c r="O31" s="7">
        <f t="shared" si="0"/>
        <v>3396804</v>
      </c>
      <c r="P31" s="7">
        <v>11422099</v>
      </c>
      <c r="Q31" s="7">
        <v>920900</v>
      </c>
      <c r="R31" s="7">
        <v>12342999</v>
      </c>
      <c r="S31" s="9">
        <v>1.1477970848809227E-2</v>
      </c>
      <c r="T31" s="10"/>
    </row>
    <row r="32" spans="1:20" customFormat="1">
      <c r="A32" s="12" t="s">
        <v>430</v>
      </c>
      <c r="B32" t="s">
        <v>667</v>
      </c>
      <c r="C32" t="s">
        <v>156</v>
      </c>
      <c r="D32" t="s">
        <v>126</v>
      </c>
      <c r="E32" t="s">
        <v>152</v>
      </c>
      <c r="F32" s="4"/>
      <c r="G32" s="7">
        <v>26117798</v>
      </c>
      <c r="H32" s="7">
        <v>26000654</v>
      </c>
      <c r="I32" s="8"/>
      <c r="J32" s="7">
        <v>5949760</v>
      </c>
      <c r="K32" s="7">
        <v>18574807</v>
      </c>
      <c r="L32" s="7">
        <v>1476087</v>
      </c>
      <c r="M32" s="7">
        <v>20050894</v>
      </c>
      <c r="N32" s="8"/>
      <c r="O32" s="7">
        <f t="shared" si="0"/>
        <v>5639395</v>
      </c>
      <c r="P32" s="7">
        <v>18679137</v>
      </c>
      <c r="Q32" s="7">
        <v>1682122</v>
      </c>
      <c r="R32" s="7">
        <v>20361259</v>
      </c>
      <c r="S32" s="9">
        <v>1.1936815127804094E-2</v>
      </c>
      <c r="T32" s="10"/>
    </row>
    <row r="33" spans="1:20" customFormat="1">
      <c r="A33" s="12" t="s">
        <v>313</v>
      </c>
      <c r="B33" t="s">
        <v>669</v>
      </c>
      <c r="C33" t="s">
        <v>122</v>
      </c>
      <c r="D33" t="s">
        <v>128</v>
      </c>
      <c r="E33" t="s">
        <v>152</v>
      </c>
      <c r="F33" s="4"/>
      <c r="G33" s="7">
        <v>47368860</v>
      </c>
      <c r="H33" s="7">
        <v>46184644</v>
      </c>
      <c r="I33" s="8"/>
      <c r="J33" s="7">
        <v>11895980</v>
      </c>
      <c r="K33" s="7">
        <v>31773528</v>
      </c>
      <c r="L33" s="7">
        <v>2515136</v>
      </c>
      <c r="M33" s="7">
        <v>34288664</v>
      </c>
      <c r="N33" s="8"/>
      <c r="O33" s="7">
        <f t="shared" si="0"/>
        <v>11379741</v>
      </c>
      <c r="P33" s="7">
        <v>31925428</v>
      </c>
      <c r="Q33" s="7">
        <v>2879475</v>
      </c>
      <c r="R33" s="7">
        <v>34804903</v>
      </c>
      <c r="S33" s="9">
        <v>1.1177719590087129E-2</v>
      </c>
      <c r="T33" s="10"/>
    </row>
    <row r="34" spans="1:20" customFormat="1">
      <c r="A34" s="12" t="s">
        <v>513</v>
      </c>
      <c r="B34" t="s">
        <v>671</v>
      </c>
      <c r="C34" t="s">
        <v>154</v>
      </c>
      <c r="D34" t="s">
        <v>128</v>
      </c>
      <c r="E34" t="s">
        <v>152</v>
      </c>
      <c r="F34" s="4"/>
      <c r="G34" s="7">
        <v>23360432</v>
      </c>
      <c r="H34" s="7">
        <v>23358590</v>
      </c>
      <c r="I34" s="8"/>
      <c r="J34" s="7">
        <v>6396305</v>
      </c>
      <c r="K34" s="7">
        <v>15802450</v>
      </c>
      <c r="L34" s="7">
        <v>1159835</v>
      </c>
      <c r="M34" s="7">
        <v>16962285</v>
      </c>
      <c r="N34" s="8"/>
      <c r="O34" s="7">
        <f t="shared" si="0"/>
        <v>6115534</v>
      </c>
      <c r="P34" s="7">
        <v>15895991</v>
      </c>
      <c r="Q34" s="7">
        <v>1347065</v>
      </c>
      <c r="R34" s="7">
        <v>17243056</v>
      </c>
      <c r="S34" s="9">
        <v>1.202003203104297E-2</v>
      </c>
      <c r="T34" s="10"/>
    </row>
    <row r="35" spans="1:20" customFormat="1">
      <c r="A35" s="12" t="s">
        <v>512</v>
      </c>
      <c r="B35" t="s">
        <v>672</v>
      </c>
      <c r="C35" t="s">
        <v>157</v>
      </c>
      <c r="D35" t="s">
        <v>128</v>
      </c>
      <c r="E35" t="s">
        <v>152</v>
      </c>
      <c r="F35" s="4"/>
      <c r="G35" s="7">
        <v>19483066</v>
      </c>
      <c r="H35" s="7">
        <v>19276912</v>
      </c>
      <c r="I35" s="8"/>
      <c r="J35" s="7">
        <v>5684562</v>
      </c>
      <c r="K35" s="7">
        <v>12537654</v>
      </c>
      <c r="L35" s="7">
        <v>1054696</v>
      </c>
      <c r="M35" s="7">
        <v>13592350</v>
      </c>
      <c r="N35" s="8"/>
      <c r="O35" s="7">
        <f t="shared" si="0"/>
        <v>5468886</v>
      </c>
      <c r="P35" s="7">
        <v>12610923</v>
      </c>
      <c r="Q35" s="7">
        <v>1197103</v>
      </c>
      <c r="R35" s="7">
        <v>13808026</v>
      </c>
      <c r="S35" s="9">
        <v>1.1188306508843325E-2</v>
      </c>
      <c r="T35" s="10"/>
    </row>
    <row r="36" spans="1:20" customFormat="1">
      <c r="A36" s="12" t="s">
        <v>84</v>
      </c>
      <c r="B36" t="s">
        <v>710</v>
      </c>
      <c r="C36" t="s">
        <v>155</v>
      </c>
      <c r="D36" t="s">
        <v>128</v>
      </c>
      <c r="E36" t="s">
        <v>152</v>
      </c>
      <c r="F36" s="4"/>
      <c r="G36" s="7">
        <v>18500488</v>
      </c>
      <c r="H36" s="7">
        <v>18026898</v>
      </c>
      <c r="I36" s="8"/>
      <c r="J36" s="7">
        <v>4457729</v>
      </c>
      <c r="K36" s="7">
        <v>12568664</v>
      </c>
      <c r="L36" s="7">
        <v>1000505</v>
      </c>
      <c r="M36" s="7">
        <v>13569169</v>
      </c>
      <c r="N36" s="8"/>
      <c r="O36" s="7">
        <f t="shared" si="0"/>
        <v>4243569</v>
      </c>
      <c r="P36" s="7">
        <v>12641058</v>
      </c>
      <c r="Q36" s="7">
        <v>1142271</v>
      </c>
      <c r="R36" s="7">
        <v>13783329</v>
      </c>
      <c r="S36" s="9">
        <v>1.1880025060329293E-2</v>
      </c>
      <c r="T36" s="10"/>
    </row>
    <row r="37" spans="1:20" customFormat="1">
      <c r="A37" s="12" t="s">
        <v>511</v>
      </c>
      <c r="B37" t="s">
        <v>794</v>
      </c>
      <c r="C37" t="s">
        <v>156</v>
      </c>
      <c r="D37" t="s">
        <v>128</v>
      </c>
      <c r="E37" t="s">
        <v>152</v>
      </c>
      <c r="F37" s="4"/>
      <c r="G37" s="7">
        <v>18353686</v>
      </c>
      <c r="H37" s="7">
        <v>18283245</v>
      </c>
      <c r="I37" s="8"/>
      <c r="J37" s="7">
        <v>4477289</v>
      </c>
      <c r="K37" s="7">
        <v>12752129</v>
      </c>
      <c r="L37" s="7">
        <v>1053827</v>
      </c>
      <c r="M37" s="7">
        <v>13805956</v>
      </c>
      <c r="N37" s="8"/>
      <c r="O37" s="7">
        <f t="shared" si="0"/>
        <v>4252940</v>
      </c>
      <c r="P37" s="7">
        <v>12834997</v>
      </c>
      <c r="Q37" s="7">
        <v>1195308</v>
      </c>
      <c r="R37" s="7">
        <v>14030305</v>
      </c>
      <c r="S37" s="9">
        <v>1.227074296712646E-2</v>
      </c>
      <c r="T37" s="10"/>
    </row>
    <row r="38" spans="1:20" customFormat="1">
      <c r="A38" s="12" t="s">
        <v>1</v>
      </c>
      <c r="B38" t="s">
        <v>861</v>
      </c>
      <c r="C38" t="s">
        <v>157</v>
      </c>
      <c r="D38" t="s">
        <v>128</v>
      </c>
      <c r="E38" t="s">
        <v>152</v>
      </c>
      <c r="F38" s="4"/>
      <c r="G38" s="7">
        <v>25685584</v>
      </c>
      <c r="H38" s="7">
        <v>25559619</v>
      </c>
      <c r="I38" s="8"/>
      <c r="J38" s="7">
        <v>6291164</v>
      </c>
      <c r="K38" s="7">
        <v>17795516</v>
      </c>
      <c r="L38" s="7">
        <v>1472939</v>
      </c>
      <c r="M38" s="7">
        <v>19268455</v>
      </c>
      <c r="N38" s="8"/>
      <c r="O38" s="7">
        <f t="shared" si="0"/>
        <v>5978049</v>
      </c>
      <c r="P38" s="7">
        <v>17898456</v>
      </c>
      <c r="Q38" s="7">
        <v>1683114</v>
      </c>
      <c r="R38" s="7">
        <v>19581570</v>
      </c>
      <c r="S38" s="9">
        <v>1.2250378223556463E-2</v>
      </c>
      <c r="T38" s="10"/>
    </row>
    <row r="39" spans="1:20" customFormat="1">
      <c r="A39" s="12" t="s">
        <v>514</v>
      </c>
      <c r="B39" t="s">
        <v>865</v>
      </c>
      <c r="C39" t="s">
        <v>123</v>
      </c>
      <c r="D39" t="s">
        <v>128</v>
      </c>
      <c r="E39" t="s">
        <v>151</v>
      </c>
      <c r="F39" s="4"/>
      <c r="G39" s="7">
        <v>14449710</v>
      </c>
      <c r="H39" s="7">
        <v>14428772</v>
      </c>
      <c r="I39" s="8"/>
      <c r="J39" s="7">
        <v>4069446</v>
      </c>
      <c r="K39" s="7">
        <v>9594237</v>
      </c>
      <c r="L39" s="7">
        <v>765089</v>
      </c>
      <c r="M39" s="7">
        <v>10359326</v>
      </c>
      <c r="N39" s="8"/>
      <c r="O39" s="7">
        <f t="shared" si="0"/>
        <v>3908183</v>
      </c>
      <c r="P39" s="7">
        <v>9645806</v>
      </c>
      <c r="Q39" s="7">
        <v>874783</v>
      </c>
      <c r="R39" s="7">
        <v>10520589</v>
      </c>
      <c r="S39" s="9">
        <v>1.1176488200104624E-2</v>
      </c>
      <c r="T39" s="10"/>
    </row>
    <row r="40" spans="1:20" customFormat="1">
      <c r="A40" s="12" t="s">
        <v>421</v>
      </c>
      <c r="B40" t="s">
        <v>886</v>
      </c>
      <c r="C40" t="s">
        <v>156</v>
      </c>
      <c r="D40" t="s">
        <v>128</v>
      </c>
      <c r="E40" t="s">
        <v>152</v>
      </c>
      <c r="F40" s="4"/>
      <c r="G40" s="7">
        <v>23100570</v>
      </c>
      <c r="H40" s="7">
        <v>23032375</v>
      </c>
      <c r="I40" s="8"/>
      <c r="J40" s="7">
        <v>5085502</v>
      </c>
      <c r="K40" s="7">
        <v>16604562</v>
      </c>
      <c r="L40" s="7">
        <v>1342311</v>
      </c>
      <c r="M40" s="7">
        <v>17946873</v>
      </c>
      <c r="N40" s="8"/>
      <c r="O40" s="7">
        <f t="shared" si="0"/>
        <v>4805675</v>
      </c>
      <c r="P40" s="7">
        <v>16704333</v>
      </c>
      <c r="Q40" s="7">
        <v>1522367</v>
      </c>
      <c r="R40" s="7">
        <v>18226700</v>
      </c>
      <c r="S40" s="9">
        <v>1.2149289858297288E-2</v>
      </c>
      <c r="T40" s="10"/>
    </row>
    <row r="41" spans="1:20" customFormat="1">
      <c r="A41" s="12" t="s">
        <v>167</v>
      </c>
      <c r="C41" t="s">
        <v>155</v>
      </c>
      <c r="D41" t="s">
        <v>128</v>
      </c>
      <c r="E41" t="s">
        <v>151</v>
      </c>
      <c r="F41" s="4"/>
      <c r="G41" s="7">
        <v>13761954</v>
      </c>
      <c r="H41" s="7">
        <v>13526221</v>
      </c>
      <c r="I41" s="8"/>
      <c r="J41" s="7">
        <v>3353678</v>
      </c>
      <c r="K41" s="7">
        <v>9478177</v>
      </c>
      <c r="L41" s="7">
        <v>694366</v>
      </c>
      <c r="M41" s="7">
        <v>10172543</v>
      </c>
      <c r="N41" s="8"/>
      <c r="O41" s="7">
        <f t="shared" si="0"/>
        <v>3189787</v>
      </c>
      <c r="P41" s="7">
        <v>9530070</v>
      </c>
      <c r="Q41" s="7">
        <v>806364</v>
      </c>
      <c r="R41" s="7">
        <v>10336434</v>
      </c>
      <c r="S41" s="9">
        <v>1.211654016299157E-2</v>
      </c>
      <c r="T41" s="10"/>
    </row>
    <row r="42" spans="1:20" customFormat="1">
      <c r="A42" s="12" t="s">
        <v>244</v>
      </c>
      <c r="B42" t="s">
        <v>694</v>
      </c>
      <c r="C42" t="s">
        <v>158</v>
      </c>
      <c r="D42" t="s">
        <v>128</v>
      </c>
      <c r="E42" t="s">
        <v>152</v>
      </c>
      <c r="F42" s="4"/>
      <c r="G42" s="7">
        <v>22586314</v>
      </c>
      <c r="H42" s="7">
        <v>22526215</v>
      </c>
      <c r="I42" s="8"/>
      <c r="J42" s="7">
        <v>5040464</v>
      </c>
      <c r="K42" s="7">
        <v>16221596</v>
      </c>
      <c r="L42" s="7">
        <v>1264155</v>
      </c>
      <c r="M42" s="7">
        <v>17485751</v>
      </c>
      <c r="N42" s="8"/>
      <c r="O42" s="7">
        <f t="shared" si="0"/>
        <v>4793774</v>
      </c>
      <c r="P42" s="7">
        <v>16290123</v>
      </c>
      <c r="Q42" s="7">
        <v>1442318</v>
      </c>
      <c r="R42" s="7">
        <v>17732441</v>
      </c>
      <c r="S42" s="9">
        <v>1.0951240587910574E-2</v>
      </c>
      <c r="T42" s="10"/>
    </row>
    <row r="43" spans="1:20" customFormat="1">
      <c r="A43" s="12" t="s">
        <v>372</v>
      </c>
      <c r="B43" t="s">
        <v>815</v>
      </c>
      <c r="C43" t="s">
        <v>123</v>
      </c>
      <c r="D43" t="s">
        <v>128</v>
      </c>
      <c r="E43" t="s">
        <v>152</v>
      </c>
      <c r="F43" s="4"/>
      <c r="G43" s="7">
        <v>16679912</v>
      </c>
      <c r="H43" s="7">
        <v>16489386</v>
      </c>
      <c r="I43" s="8"/>
      <c r="J43" s="7">
        <v>3913527</v>
      </c>
      <c r="K43" s="7">
        <v>11696951</v>
      </c>
      <c r="L43" s="7">
        <v>878908</v>
      </c>
      <c r="M43" s="7">
        <v>12575859</v>
      </c>
      <c r="N43" s="8"/>
      <c r="O43" s="7">
        <f t="shared" si="0"/>
        <v>3712438</v>
      </c>
      <c r="P43" s="7">
        <v>11759788</v>
      </c>
      <c r="Q43" s="7">
        <v>1017160</v>
      </c>
      <c r="R43" s="7">
        <v>12776948</v>
      </c>
      <c r="S43" s="9">
        <v>1.2195056868703298E-2</v>
      </c>
      <c r="T43" s="10"/>
    </row>
    <row r="44" spans="1:20" customFormat="1">
      <c r="A44" s="12" t="s">
        <v>261</v>
      </c>
      <c r="B44" t="s">
        <v>819</v>
      </c>
      <c r="C44" t="s">
        <v>158</v>
      </c>
      <c r="D44" t="s">
        <v>128</v>
      </c>
      <c r="E44" t="s">
        <v>151</v>
      </c>
      <c r="F44" s="4"/>
      <c r="G44" s="7">
        <v>16605588</v>
      </c>
      <c r="H44" s="7">
        <v>16320864</v>
      </c>
      <c r="I44" s="8"/>
      <c r="J44" s="7">
        <v>3862146</v>
      </c>
      <c r="K44" s="7">
        <v>11592276</v>
      </c>
      <c r="L44" s="7">
        <v>866442</v>
      </c>
      <c r="M44" s="7">
        <v>12458718</v>
      </c>
      <c r="N44" s="8"/>
      <c r="O44" s="7">
        <f t="shared" si="0"/>
        <v>3670667</v>
      </c>
      <c r="P44" s="7">
        <v>11651907</v>
      </c>
      <c r="Q44" s="7">
        <v>998290</v>
      </c>
      <c r="R44" s="7">
        <v>12650197</v>
      </c>
      <c r="S44" s="9">
        <v>1.1732160748352538E-2</v>
      </c>
      <c r="T44" s="10"/>
    </row>
    <row r="45" spans="1:20" customFormat="1">
      <c r="A45" s="12" t="s">
        <v>393</v>
      </c>
      <c r="B45" t="s">
        <v>820</v>
      </c>
      <c r="C45" t="s">
        <v>156</v>
      </c>
      <c r="D45" t="s">
        <v>128</v>
      </c>
      <c r="E45" t="s">
        <v>152</v>
      </c>
      <c r="F45" s="4"/>
      <c r="G45" s="7">
        <v>33097364</v>
      </c>
      <c r="H45" s="7">
        <v>33013469</v>
      </c>
      <c r="I45" s="8"/>
      <c r="J45" s="7">
        <v>6807314</v>
      </c>
      <c r="K45" s="7">
        <v>24233937</v>
      </c>
      <c r="L45" s="7">
        <v>1972218</v>
      </c>
      <c r="M45" s="7">
        <v>26206155</v>
      </c>
      <c r="N45" s="8"/>
      <c r="O45" s="7">
        <f t="shared" si="0"/>
        <v>6415910</v>
      </c>
      <c r="P45" s="7">
        <v>24372668</v>
      </c>
      <c r="Q45" s="7">
        <v>2224891</v>
      </c>
      <c r="R45" s="7">
        <v>26597559</v>
      </c>
      <c r="S45" s="9">
        <v>1.1855888273964787E-2</v>
      </c>
      <c r="T45" s="10"/>
    </row>
    <row r="46" spans="1:20" customFormat="1">
      <c r="A46" s="12" t="s">
        <v>350</v>
      </c>
      <c r="B46" t="s">
        <v>823</v>
      </c>
      <c r="C46" t="s">
        <v>123</v>
      </c>
      <c r="D46" t="s">
        <v>128</v>
      </c>
      <c r="E46" t="s">
        <v>152</v>
      </c>
      <c r="F46" s="4"/>
      <c r="G46" s="7">
        <v>16523276</v>
      </c>
      <c r="H46" s="7">
        <v>16180850</v>
      </c>
      <c r="I46" s="8"/>
      <c r="J46" s="7">
        <v>4379299</v>
      </c>
      <c r="K46" s="7">
        <v>11005447</v>
      </c>
      <c r="L46" s="7">
        <v>796104</v>
      </c>
      <c r="M46" s="7">
        <v>11801551</v>
      </c>
      <c r="N46" s="8"/>
      <c r="O46" s="7">
        <f t="shared" si="0"/>
        <v>4188277</v>
      </c>
      <c r="P46" s="7">
        <v>11067673</v>
      </c>
      <c r="Q46" s="7">
        <v>924900</v>
      </c>
      <c r="R46" s="7">
        <v>11992573</v>
      </c>
      <c r="S46" s="9">
        <v>1.180543667359873E-2</v>
      </c>
      <c r="T46" s="10"/>
    </row>
    <row r="47" spans="1:20" customFormat="1">
      <c r="A47" s="12" t="s">
        <v>406</v>
      </c>
      <c r="B47" t="s">
        <v>816</v>
      </c>
      <c r="C47" t="s">
        <v>156</v>
      </c>
      <c r="D47" t="s">
        <v>128</v>
      </c>
      <c r="E47" t="s">
        <v>152</v>
      </c>
      <c r="F47" s="4"/>
      <c r="G47" s="7">
        <v>27217860</v>
      </c>
      <c r="H47" s="7">
        <v>27148548</v>
      </c>
      <c r="I47" s="8"/>
      <c r="J47" s="7">
        <v>6425290</v>
      </c>
      <c r="K47" s="7">
        <v>19229778</v>
      </c>
      <c r="L47" s="7">
        <v>1493480</v>
      </c>
      <c r="M47" s="7">
        <v>20723258</v>
      </c>
      <c r="N47" s="8"/>
      <c r="O47" s="7">
        <f t="shared" si="0"/>
        <v>6097152</v>
      </c>
      <c r="P47" s="7">
        <v>19348243</v>
      </c>
      <c r="Q47" s="7">
        <v>1703153</v>
      </c>
      <c r="R47" s="7">
        <v>21051396</v>
      </c>
      <c r="S47" s="9">
        <v>1.2086760588448413E-2</v>
      </c>
      <c r="T47" s="10"/>
    </row>
    <row r="48" spans="1:20" customFormat="1">
      <c r="A48" s="12" t="s">
        <v>170</v>
      </c>
      <c r="B48" t="s">
        <v>633</v>
      </c>
      <c r="C48" t="s">
        <v>157</v>
      </c>
      <c r="D48" t="s">
        <v>126</v>
      </c>
      <c r="E48" t="s">
        <v>152</v>
      </c>
      <c r="F48" s="4"/>
      <c r="G48" s="7">
        <v>22521234</v>
      </c>
      <c r="H48" s="7">
        <v>22425156</v>
      </c>
      <c r="I48" s="8"/>
      <c r="J48" s="7">
        <v>5225668</v>
      </c>
      <c r="K48" s="7">
        <v>15981299</v>
      </c>
      <c r="L48" s="7">
        <v>1218189</v>
      </c>
      <c r="M48" s="7">
        <v>17199488</v>
      </c>
      <c r="N48" s="8"/>
      <c r="O48" s="7">
        <f t="shared" si="0"/>
        <v>4948807</v>
      </c>
      <c r="P48" s="7">
        <v>16076396</v>
      </c>
      <c r="Q48" s="7">
        <v>1399953</v>
      </c>
      <c r="R48" s="7">
        <v>17476349</v>
      </c>
      <c r="S48" s="9">
        <v>1.2346001071296896E-2</v>
      </c>
      <c r="T48" s="10"/>
    </row>
    <row r="49" spans="1:20" customFormat="1">
      <c r="A49" s="12" t="s">
        <v>455</v>
      </c>
      <c r="B49" t="s">
        <v>538</v>
      </c>
      <c r="C49" t="s">
        <v>157</v>
      </c>
      <c r="D49" t="s">
        <v>128</v>
      </c>
      <c r="E49" t="s">
        <v>152</v>
      </c>
      <c r="F49" s="4"/>
      <c r="G49" s="7">
        <v>19229018</v>
      </c>
      <c r="H49" s="7">
        <v>19142234</v>
      </c>
      <c r="I49" s="8"/>
      <c r="J49" s="7">
        <v>5502723</v>
      </c>
      <c r="K49" s="7">
        <v>12697815</v>
      </c>
      <c r="L49" s="7">
        <v>941696</v>
      </c>
      <c r="M49" s="7">
        <v>13639511</v>
      </c>
      <c r="N49" s="8"/>
      <c r="O49" s="7">
        <f t="shared" si="0"/>
        <v>5286378</v>
      </c>
      <c r="P49" s="7">
        <v>12768533</v>
      </c>
      <c r="Q49" s="7">
        <v>1087323</v>
      </c>
      <c r="R49" s="7">
        <v>13855856</v>
      </c>
      <c r="S49" s="9">
        <v>1.1301972382115902E-2</v>
      </c>
      <c r="T49" s="10"/>
    </row>
    <row r="50" spans="1:20" customFormat="1">
      <c r="A50" s="12" t="s">
        <v>364</v>
      </c>
      <c r="B50" t="s">
        <v>539</v>
      </c>
      <c r="C50" t="s">
        <v>123</v>
      </c>
      <c r="D50" t="s">
        <v>128</v>
      </c>
      <c r="E50" t="s">
        <v>152</v>
      </c>
      <c r="F50" s="4"/>
      <c r="G50" s="7">
        <v>22483492</v>
      </c>
      <c r="H50" s="7">
        <v>22412272</v>
      </c>
      <c r="I50" s="8"/>
      <c r="J50" s="7">
        <v>5941437</v>
      </c>
      <c r="K50" s="7">
        <v>15334956</v>
      </c>
      <c r="L50" s="7">
        <v>1135879</v>
      </c>
      <c r="M50" s="7">
        <v>16470835</v>
      </c>
      <c r="N50" s="8"/>
      <c r="O50" s="7">
        <f t="shared" si="0"/>
        <v>5679789</v>
      </c>
      <c r="P50" s="7">
        <v>15412352</v>
      </c>
      <c r="Q50" s="7">
        <v>1320131</v>
      </c>
      <c r="R50" s="7">
        <v>16732483</v>
      </c>
      <c r="S50" s="9">
        <v>1.1674318426976077E-2</v>
      </c>
      <c r="T50" s="10"/>
    </row>
    <row r="51" spans="1:20" customFormat="1">
      <c r="A51" s="12" t="s">
        <v>378</v>
      </c>
      <c r="B51" t="s">
        <v>540</v>
      </c>
      <c r="C51" t="s">
        <v>123</v>
      </c>
      <c r="D51" t="s">
        <v>128</v>
      </c>
      <c r="E51" t="s">
        <v>151</v>
      </c>
      <c r="F51" s="4"/>
      <c r="G51" s="7">
        <v>13120210</v>
      </c>
      <c r="H51" s="7">
        <v>12658226</v>
      </c>
      <c r="I51" s="8"/>
      <c r="J51" s="7">
        <v>3286595</v>
      </c>
      <c r="K51" s="7">
        <v>8705588</v>
      </c>
      <c r="L51" s="7">
        <v>666043</v>
      </c>
      <c r="M51" s="7">
        <v>9371631</v>
      </c>
      <c r="N51" s="8"/>
      <c r="O51" s="7">
        <f t="shared" si="0"/>
        <v>3146603</v>
      </c>
      <c r="P51" s="7">
        <v>8746136</v>
      </c>
      <c r="Q51" s="7">
        <v>765487</v>
      </c>
      <c r="R51" s="7">
        <v>9511623</v>
      </c>
      <c r="S51" s="9">
        <v>1.1059369614667964E-2</v>
      </c>
      <c r="T51" s="10"/>
    </row>
    <row r="52" spans="1:20" customFormat="1">
      <c r="A52" s="12" t="s">
        <v>459</v>
      </c>
      <c r="B52" t="s">
        <v>546</v>
      </c>
      <c r="C52" t="s">
        <v>157</v>
      </c>
      <c r="D52" t="s">
        <v>128</v>
      </c>
      <c r="E52" t="s">
        <v>152</v>
      </c>
      <c r="F52" s="4"/>
      <c r="G52" s="7">
        <v>32180286</v>
      </c>
      <c r="H52" s="7">
        <v>31736093</v>
      </c>
      <c r="I52" s="8"/>
      <c r="J52" s="7">
        <v>7806604</v>
      </c>
      <c r="K52" s="7">
        <v>22205461</v>
      </c>
      <c r="L52" s="7">
        <v>1724028</v>
      </c>
      <c r="M52" s="7">
        <v>23929489</v>
      </c>
      <c r="N52" s="8"/>
      <c r="O52" s="7">
        <f t="shared" si="0"/>
        <v>7413350</v>
      </c>
      <c r="P52" s="7">
        <v>22339437</v>
      </c>
      <c r="Q52" s="7">
        <v>1983306</v>
      </c>
      <c r="R52" s="7">
        <v>24322743</v>
      </c>
      <c r="S52" s="9">
        <v>1.2391380375649895E-2</v>
      </c>
      <c r="T52" s="10"/>
    </row>
    <row r="53" spans="1:20" customFormat="1">
      <c r="A53" s="12" t="s">
        <v>384</v>
      </c>
      <c r="B53" t="s">
        <v>548</v>
      </c>
      <c r="C53" t="s">
        <v>123</v>
      </c>
      <c r="D53" t="s">
        <v>128</v>
      </c>
      <c r="E53" t="s">
        <v>151</v>
      </c>
      <c r="F53" s="4"/>
      <c r="G53" s="7">
        <v>12971370</v>
      </c>
      <c r="H53" s="7">
        <v>12662277</v>
      </c>
      <c r="I53" s="8"/>
      <c r="J53" s="7">
        <v>4508549</v>
      </c>
      <c r="K53" s="7">
        <v>7627815</v>
      </c>
      <c r="L53" s="7">
        <v>525913</v>
      </c>
      <c r="M53" s="7">
        <v>8153728</v>
      </c>
      <c r="N53" s="8"/>
      <c r="O53" s="7">
        <f t="shared" si="0"/>
        <v>4383848</v>
      </c>
      <c r="P53" s="7">
        <v>7665265</v>
      </c>
      <c r="Q53" s="7">
        <v>613164</v>
      </c>
      <c r="R53" s="7">
        <v>8278429</v>
      </c>
      <c r="S53" s="9">
        <v>9.8482287190526634E-3</v>
      </c>
      <c r="T53" s="10"/>
    </row>
    <row r="54" spans="1:20" customFormat="1">
      <c r="A54" s="12" t="s">
        <v>467</v>
      </c>
      <c r="B54" t="s">
        <v>552</v>
      </c>
      <c r="C54" t="s">
        <v>157</v>
      </c>
      <c r="D54" t="s">
        <v>128</v>
      </c>
      <c r="E54" t="s">
        <v>152</v>
      </c>
      <c r="F54" s="4"/>
      <c r="G54" s="7">
        <v>18609684</v>
      </c>
      <c r="H54" s="7">
        <v>18528130</v>
      </c>
      <c r="I54" s="8"/>
      <c r="J54" s="7">
        <v>4826053</v>
      </c>
      <c r="K54" s="7">
        <v>12667235</v>
      </c>
      <c r="L54" s="7">
        <v>1034842</v>
      </c>
      <c r="M54" s="7">
        <v>13702077</v>
      </c>
      <c r="N54" s="8"/>
      <c r="O54" s="7">
        <f t="shared" si="0"/>
        <v>4609437</v>
      </c>
      <c r="P54" s="7">
        <v>12743667</v>
      </c>
      <c r="Q54" s="7">
        <v>1175026</v>
      </c>
      <c r="R54" s="7">
        <v>13918693</v>
      </c>
      <c r="S54" s="9">
        <v>1.169119603543369E-2</v>
      </c>
      <c r="T54" s="10"/>
    </row>
    <row r="55" spans="1:20" customFormat="1">
      <c r="A55" s="12" t="s">
        <v>379</v>
      </c>
      <c r="B55" t="s">
        <v>553</v>
      </c>
      <c r="C55" t="s">
        <v>123</v>
      </c>
      <c r="D55" t="s">
        <v>128</v>
      </c>
      <c r="E55" t="s">
        <v>152</v>
      </c>
      <c r="F55" s="4"/>
      <c r="G55" s="7">
        <v>16867022</v>
      </c>
      <c r="H55" s="7">
        <v>16819440</v>
      </c>
      <c r="I55" s="8"/>
      <c r="J55" s="7">
        <v>3965002</v>
      </c>
      <c r="K55" s="7">
        <v>11984286</v>
      </c>
      <c r="L55" s="7">
        <v>870152</v>
      </c>
      <c r="M55" s="7">
        <v>12854438</v>
      </c>
      <c r="N55" s="8"/>
      <c r="O55" s="7">
        <f t="shared" si="0"/>
        <v>3763005</v>
      </c>
      <c r="P55" s="7">
        <v>12048798</v>
      </c>
      <c r="Q55" s="7">
        <v>1007637</v>
      </c>
      <c r="R55" s="7">
        <v>13056435</v>
      </c>
      <c r="S55" s="9">
        <v>1.2009733974496178E-2</v>
      </c>
      <c r="T55" s="10"/>
    </row>
    <row r="56" spans="1:20" customFormat="1">
      <c r="A56" s="12" t="s">
        <v>458</v>
      </c>
      <c r="B56" t="s">
        <v>554</v>
      </c>
      <c r="C56" t="s">
        <v>157</v>
      </c>
      <c r="D56" t="s">
        <v>128</v>
      </c>
      <c r="E56" t="s">
        <v>152</v>
      </c>
      <c r="F56" s="4"/>
      <c r="G56" s="7">
        <v>30027052</v>
      </c>
      <c r="H56" s="7">
        <v>29851883</v>
      </c>
      <c r="I56" s="8"/>
      <c r="J56" s="7">
        <v>7841824</v>
      </c>
      <c r="K56" s="7">
        <v>20475561</v>
      </c>
      <c r="L56" s="7">
        <v>1534498</v>
      </c>
      <c r="M56" s="7">
        <v>22010059</v>
      </c>
      <c r="N56" s="8"/>
      <c r="O56" s="7">
        <f t="shared" si="0"/>
        <v>7487200</v>
      </c>
      <c r="P56" s="7">
        <v>20598056</v>
      </c>
      <c r="Q56" s="7">
        <v>1766627</v>
      </c>
      <c r="R56" s="7">
        <v>22364683</v>
      </c>
      <c r="S56" s="9">
        <v>1.1879451624542412E-2</v>
      </c>
      <c r="T56" s="10"/>
    </row>
    <row r="57" spans="1:20" customFormat="1">
      <c r="A57" s="12" t="s">
        <v>437</v>
      </c>
      <c r="B57" t="s">
        <v>556</v>
      </c>
      <c r="C57" t="s">
        <v>156</v>
      </c>
      <c r="D57" t="s">
        <v>126</v>
      </c>
      <c r="E57" t="s">
        <v>152</v>
      </c>
      <c r="F57" s="4"/>
      <c r="G57" s="7">
        <v>24254718</v>
      </c>
      <c r="H57" s="7">
        <v>24154932</v>
      </c>
      <c r="I57" s="8"/>
      <c r="J57" s="7">
        <v>5378734</v>
      </c>
      <c r="K57" s="7">
        <v>17456862</v>
      </c>
      <c r="L57" s="7">
        <v>1319336</v>
      </c>
      <c r="M57" s="7">
        <v>18776198</v>
      </c>
      <c r="N57" s="8"/>
      <c r="O57" s="7">
        <f t="shared" si="0"/>
        <v>5084388</v>
      </c>
      <c r="P57" s="7">
        <v>17552681</v>
      </c>
      <c r="Q57" s="7">
        <v>1517863</v>
      </c>
      <c r="R57" s="7">
        <v>19070544</v>
      </c>
      <c r="S57" s="9">
        <v>1.2185751547551449E-2</v>
      </c>
      <c r="T57" s="10"/>
    </row>
    <row r="58" spans="1:20" customFormat="1">
      <c r="A58" s="12" t="s">
        <v>376</v>
      </c>
      <c r="B58" t="s">
        <v>558</v>
      </c>
      <c r="C58" t="s">
        <v>123</v>
      </c>
      <c r="D58" t="s">
        <v>128</v>
      </c>
      <c r="E58" t="s">
        <v>151</v>
      </c>
      <c r="F58" s="4"/>
      <c r="G58" s="7">
        <v>13465994</v>
      </c>
      <c r="H58" s="7">
        <v>13192800</v>
      </c>
      <c r="I58" s="8"/>
      <c r="J58" s="7">
        <v>4476588</v>
      </c>
      <c r="K58" s="7">
        <v>8095008</v>
      </c>
      <c r="L58" s="7">
        <v>621204</v>
      </c>
      <c r="M58" s="7">
        <v>8716212</v>
      </c>
      <c r="N58" s="8"/>
      <c r="O58" s="7">
        <f t="shared" si="0"/>
        <v>4340667</v>
      </c>
      <c r="P58" s="7">
        <v>8136104</v>
      </c>
      <c r="Q58" s="7">
        <v>716029</v>
      </c>
      <c r="R58" s="7">
        <v>8852133</v>
      </c>
      <c r="S58" s="9">
        <v>1.0302665090049118E-2</v>
      </c>
      <c r="T58" s="10"/>
    </row>
    <row r="59" spans="1:20" customFormat="1">
      <c r="A59" s="12" t="s">
        <v>369</v>
      </c>
      <c r="B59" t="s">
        <v>561</v>
      </c>
      <c r="C59" t="s">
        <v>123</v>
      </c>
      <c r="D59" t="s">
        <v>128</v>
      </c>
      <c r="E59" t="s">
        <v>152</v>
      </c>
      <c r="F59" s="4"/>
      <c r="G59" s="7">
        <v>18498528</v>
      </c>
      <c r="H59" s="7">
        <v>18466195</v>
      </c>
      <c r="I59" s="8"/>
      <c r="J59" s="7">
        <v>5328157</v>
      </c>
      <c r="K59" s="7">
        <v>12175970</v>
      </c>
      <c r="L59" s="7">
        <v>962068</v>
      </c>
      <c r="M59" s="7">
        <v>13138038</v>
      </c>
      <c r="N59" s="8"/>
      <c r="O59" s="7">
        <f t="shared" si="0"/>
        <v>5131705</v>
      </c>
      <c r="P59" s="7">
        <v>12237758</v>
      </c>
      <c r="Q59" s="7">
        <v>1096732</v>
      </c>
      <c r="R59" s="7">
        <v>13334490</v>
      </c>
      <c r="S59" s="9">
        <v>1.0638466668417614E-2</v>
      </c>
      <c r="T59" s="10"/>
    </row>
    <row r="60" spans="1:20" customFormat="1">
      <c r="A60" s="12" t="s">
        <v>357</v>
      </c>
      <c r="B60" t="s">
        <v>562</v>
      </c>
      <c r="C60" t="s">
        <v>123</v>
      </c>
      <c r="D60" t="s">
        <v>128</v>
      </c>
      <c r="E60" t="s">
        <v>152</v>
      </c>
      <c r="F60" s="4"/>
      <c r="G60" s="7">
        <v>22201614</v>
      </c>
      <c r="H60" s="7">
        <v>22103511</v>
      </c>
      <c r="I60" s="8"/>
      <c r="J60" s="7">
        <v>5103229</v>
      </c>
      <c r="K60" s="7">
        <v>15850021</v>
      </c>
      <c r="L60" s="7">
        <v>1150261</v>
      </c>
      <c r="M60" s="7">
        <v>17000282</v>
      </c>
      <c r="N60" s="8"/>
      <c r="O60" s="7">
        <f t="shared" si="0"/>
        <v>4827596</v>
      </c>
      <c r="P60" s="7">
        <v>15946117</v>
      </c>
      <c r="Q60" s="7">
        <v>1329798</v>
      </c>
      <c r="R60" s="7">
        <v>17275915</v>
      </c>
      <c r="S60" s="9">
        <v>1.247010033835801E-2</v>
      </c>
      <c r="T60" s="10"/>
    </row>
    <row r="61" spans="1:20" customFormat="1">
      <c r="A61" s="12" t="s">
        <v>371</v>
      </c>
      <c r="B61" t="s">
        <v>563</v>
      </c>
      <c r="C61" t="s">
        <v>123</v>
      </c>
      <c r="D61" t="s">
        <v>128</v>
      </c>
      <c r="E61" t="s">
        <v>151</v>
      </c>
      <c r="F61" s="4"/>
      <c r="G61" s="7">
        <v>14770738</v>
      </c>
      <c r="H61" s="7">
        <v>14588808</v>
      </c>
      <c r="I61" s="8"/>
      <c r="J61" s="7">
        <v>3502301</v>
      </c>
      <c r="K61" s="7">
        <v>10265124</v>
      </c>
      <c r="L61" s="7">
        <v>821383</v>
      </c>
      <c r="M61" s="7">
        <v>11086507</v>
      </c>
      <c r="N61" s="8"/>
      <c r="O61" s="7">
        <f t="shared" si="0"/>
        <v>3333932</v>
      </c>
      <c r="P61" s="7">
        <v>10316772</v>
      </c>
      <c r="Q61" s="7">
        <v>938104</v>
      </c>
      <c r="R61" s="7">
        <v>11254876</v>
      </c>
      <c r="S61" s="9">
        <v>1.1540970310939728E-2</v>
      </c>
      <c r="T61" s="10"/>
    </row>
    <row r="62" spans="1:20" customFormat="1">
      <c r="A62" s="12" t="s">
        <v>429</v>
      </c>
      <c r="B62" t="s">
        <v>564</v>
      </c>
      <c r="C62" t="s">
        <v>156</v>
      </c>
      <c r="D62" t="s">
        <v>126</v>
      </c>
      <c r="E62" t="s">
        <v>152</v>
      </c>
      <c r="F62" s="4"/>
      <c r="G62" s="7">
        <v>23369942</v>
      </c>
      <c r="H62" s="7">
        <v>22914059</v>
      </c>
      <c r="I62" s="8"/>
      <c r="J62" s="7">
        <v>5020284</v>
      </c>
      <c r="K62" s="7">
        <v>16665205</v>
      </c>
      <c r="L62" s="7">
        <v>1228570</v>
      </c>
      <c r="M62" s="7">
        <v>17893775</v>
      </c>
      <c r="N62" s="8"/>
      <c r="O62" s="7">
        <f t="shared" si="0"/>
        <v>4738701</v>
      </c>
      <c r="P62" s="7">
        <v>16763340</v>
      </c>
      <c r="Q62" s="7">
        <v>1412018</v>
      </c>
      <c r="R62" s="7">
        <v>18175358</v>
      </c>
      <c r="S62" s="9">
        <v>1.2288656496869456E-2</v>
      </c>
      <c r="T62" s="10"/>
    </row>
    <row r="63" spans="1:20" customFormat="1">
      <c r="A63" s="12" t="s">
        <v>441</v>
      </c>
      <c r="B63" t="s">
        <v>572</v>
      </c>
      <c r="C63" t="s">
        <v>156</v>
      </c>
      <c r="D63" t="s">
        <v>126</v>
      </c>
      <c r="E63" t="s">
        <v>152</v>
      </c>
      <c r="F63" s="4"/>
      <c r="G63" s="7">
        <v>33558322</v>
      </c>
      <c r="H63" s="7">
        <v>33359123</v>
      </c>
      <c r="I63" s="8"/>
      <c r="J63" s="7">
        <v>7617484</v>
      </c>
      <c r="K63" s="7">
        <v>24015664</v>
      </c>
      <c r="L63" s="7">
        <v>1725975</v>
      </c>
      <c r="M63" s="7">
        <v>25741639</v>
      </c>
      <c r="N63" s="8"/>
      <c r="O63" s="7">
        <f t="shared" si="0"/>
        <v>7207493</v>
      </c>
      <c r="P63" s="7">
        <v>24156390</v>
      </c>
      <c r="Q63" s="7">
        <v>1995240</v>
      </c>
      <c r="R63" s="7">
        <v>26151630</v>
      </c>
      <c r="S63" s="9">
        <v>1.2290221178776192E-2</v>
      </c>
      <c r="T63" s="10"/>
    </row>
    <row r="64" spans="1:20" customFormat="1">
      <c r="A64" s="12" t="s">
        <v>365</v>
      </c>
      <c r="B64" t="s">
        <v>573</v>
      </c>
      <c r="C64" t="s">
        <v>123</v>
      </c>
      <c r="D64" t="s">
        <v>128</v>
      </c>
      <c r="E64" t="s">
        <v>152</v>
      </c>
      <c r="F64" s="4"/>
      <c r="G64" s="7">
        <v>17421386</v>
      </c>
      <c r="H64" s="7">
        <v>17369227</v>
      </c>
      <c r="I64" s="8"/>
      <c r="J64" s="7">
        <v>4638150</v>
      </c>
      <c r="K64" s="7">
        <v>11904660</v>
      </c>
      <c r="L64" s="7">
        <v>826417</v>
      </c>
      <c r="M64" s="7">
        <v>12731077</v>
      </c>
      <c r="N64" s="8"/>
      <c r="O64" s="7">
        <f t="shared" si="0"/>
        <v>4439858</v>
      </c>
      <c r="P64" s="7">
        <v>11963636</v>
      </c>
      <c r="Q64" s="7">
        <v>965733</v>
      </c>
      <c r="R64" s="7">
        <v>12929369</v>
      </c>
      <c r="S64" s="9">
        <v>1.1416282371115307E-2</v>
      </c>
      <c r="T64" s="10"/>
    </row>
    <row r="65" spans="1:20" customFormat="1">
      <c r="A65" s="12" t="s">
        <v>190</v>
      </c>
      <c r="B65" t="s">
        <v>574</v>
      </c>
      <c r="C65" t="s">
        <v>154</v>
      </c>
      <c r="D65" t="s">
        <v>128</v>
      </c>
      <c r="E65" t="s">
        <v>152</v>
      </c>
      <c r="F65" s="4"/>
      <c r="G65" s="7">
        <v>40999812</v>
      </c>
      <c r="H65" s="7">
        <v>40997368</v>
      </c>
      <c r="I65" s="8"/>
      <c r="J65" s="7">
        <v>14908352</v>
      </c>
      <c r="K65" s="7">
        <v>23819675</v>
      </c>
      <c r="L65" s="7">
        <v>2269341</v>
      </c>
      <c r="M65" s="7">
        <v>26089016</v>
      </c>
      <c r="N65" s="8"/>
      <c r="O65" s="7">
        <f t="shared" si="0"/>
        <v>14510224</v>
      </c>
      <c r="P65" s="7">
        <v>23942872</v>
      </c>
      <c r="Q65" s="7">
        <v>2544272</v>
      </c>
      <c r="R65" s="7">
        <v>26487144</v>
      </c>
      <c r="S65" s="9">
        <v>9.7110624272270362E-3</v>
      </c>
      <c r="T65" s="10"/>
    </row>
    <row r="66" spans="1:20" customFormat="1">
      <c r="A66" s="12" t="s">
        <v>320</v>
      </c>
      <c r="B66" t="s">
        <v>575</v>
      </c>
      <c r="C66" t="s">
        <v>122</v>
      </c>
      <c r="D66" t="s">
        <v>128</v>
      </c>
      <c r="E66" t="s">
        <v>151</v>
      </c>
      <c r="F66" s="4"/>
      <c r="G66" s="7">
        <v>11576358</v>
      </c>
      <c r="H66" s="7">
        <v>11504726</v>
      </c>
      <c r="I66" s="8"/>
      <c r="J66" s="7">
        <v>3469479</v>
      </c>
      <c r="K66" s="7">
        <v>7456977</v>
      </c>
      <c r="L66" s="7">
        <v>578270</v>
      </c>
      <c r="M66" s="7">
        <v>8035247</v>
      </c>
      <c r="N66" s="8"/>
      <c r="O66" s="7">
        <f t="shared" si="0"/>
        <v>3336604</v>
      </c>
      <c r="P66" s="7">
        <v>7503008</v>
      </c>
      <c r="Q66" s="7">
        <v>665114</v>
      </c>
      <c r="R66" s="7">
        <v>8168122</v>
      </c>
      <c r="S66" s="9">
        <v>1.1549601442050857E-2</v>
      </c>
      <c r="T66" s="10"/>
    </row>
    <row r="67" spans="1:20" customFormat="1">
      <c r="A67" s="12" t="s">
        <v>510</v>
      </c>
      <c r="B67" t="s">
        <v>898</v>
      </c>
      <c r="C67" t="s">
        <v>154</v>
      </c>
      <c r="D67" t="s">
        <v>128</v>
      </c>
      <c r="E67" t="s">
        <v>151</v>
      </c>
      <c r="F67" s="4"/>
      <c r="G67" s="7">
        <v>15046496</v>
      </c>
      <c r="H67" s="7">
        <v>15045520</v>
      </c>
      <c r="I67" s="8"/>
      <c r="J67" s="7">
        <v>3577253</v>
      </c>
      <c r="K67" s="7">
        <v>10667761</v>
      </c>
      <c r="L67" s="7">
        <v>800506</v>
      </c>
      <c r="M67" s="7">
        <v>11468267</v>
      </c>
      <c r="N67" s="8"/>
      <c r="O67" s="7">
        <f t="shared" si="0"/>
        <v>3402456</v>
      </c>
      <c r="P67" s="7">
        <v>10716746</v>
      </c>
      <c r="Q67" s="7">
        <v>926318</v>
      </c>
      <c r="R67" s="7">
        <v>11643064</v>
      </c>
      <c r="S67" s="9">
        <v>1.16178769494175E-2</v>
      </c>
      <c r="T67" s="10"/>
    </row>
    <row r="68" spans="1:20" customFormat="1">
      <c r="A68" s="12" t="s">
        <v>87</v>
      </c>
      <c r="C68" t="s">
        <v>155</v>
      </c>
      <c r="D68" t="s">
        <v>128</v>
      </c>
      <c r="E68" t="s">
        <v>151</v>
      </c>
      <c r="F68" s="4"/>
      <c r="G68" s="7">
        <v>12499698</v>
      </c>
      <c r="H68" s="7">
        <v>12454796</v>
      </c>
      <c r="I68" s="8"/>
      <c r="J68" s="7">
        <v>2878225</v>
      </c>
      <c r="K68" s="7">
        <v>8892679</v>
      </c>
      <c r="L68" s="7">
        <v>683892</v>
      </c>
      <c r="M68" s="7">
        <v>9576571</v>
      </c>
      <c r="N68" s="8"/>
      <c r="O68" s="7">
        <f t="shared" ref="O68:O131" si="1">H68-R68</f>
        <v>2726161</v>
      </c>
      <c r="P68" s="7">
        <v>8940340</v>
      </c>
      <c r="Q68" s="7">
        <v>788295</v>
      </c>
      <c r="R68" s="7">
        <v>9728635</v>
      </c>
      <c r="S68" s="9">
        <v>1.2209272636821993E-2</v>
      </c>
      <c r="T68" s="10"/>
    </row>
    <row r="69" spans="1:20" customFormat="1">
      <c r="A69" s="12" t="s">
        <v>219</v>
      </c>
      <c r="C69" t="s">
        <v>154</v>
      </c>
      <c r="D69" t="s">
        <v>128</v>
      </c>
      <c r="E69" t="s">
        <v>152</v>
      </c>
      <c r="F69" s="4"/>
      <c r="G69" s="7">
        <v>18263788</v>
      </c>
      <c r="H69" s="7">
        <v>18261592</v>
      </c>
      <c r="I69" s="8"/>
      <c r="J69" s="7">
        <v>6969698</v>
      </c>
      <c r="K69" s="7">
        <v>10432232</v>
      </c>
      <c r="L69" s="7">
        <v>859662</v>
      </c>
      <c r="M69" s="7">
        <v>11291894</v>
      </c>
      <c r="N69" s="8"/>
      <c r="O69" s="7">
        <f t="shared" si="1"/>
        <v>6784945</v>
      </c>
      <c r="P69" s="7">
        <v>10492453</v>
      </c>
      <c r="Q69" s="7">
        <v>984194</v>
      </c>
      <c r="R69" s="7">
        <v>11476647</v>
      </c>
      <c r="S69" s="9">
        <v>1.0117025941659414E-2</v>
      </c>
      <c r="T69" s="10"/>
    </row>
    <row r="70" spans="1:20" customFormat="1">
      <c r="A70" s="12" t="s">
        <v>326</v>
      </c>
      <c r="B70" t="s">
        <v>589</v>
      </c>
      <c r="C70" t="s">
        <v>123</v>
      </c>
      <c r="D70" t="s">
        <v>126</v>
      </c>
      <c r="E70" t="s">
        <v>152</v>
      </c>
      <c r="F70" s="4"/>
      <c r="G70" s="7">
        <v>21804788</v>
      </c>
      <c r="H70" s="7">
        <v>21479886</v>
      </c>
      <c r="I70" s="8"/>
      <c r="J70" s="7">
        <v>5258449</v>
      </c>
      <c r="K70" s="7">
        <v>15062904</v>
      </c>
      <c r="L70" s="7">
        <v>1158533</v>
      </c>
      <c r="M70" s="7">
        <v>16221437</v>
      </c>
      <c r="N70" s="8"/>
      <c r="O70" s="7">
        <f t="shared" si="1"/>
        <v>5023679</v>
      </c>
      <c r="P70" s="7">
        <v>15137681</v>
      </c>
      <c r="Q70" s="7">
        <v>1318526</v>
      </c>
      <c r="R70" s="7">
        <v>16456207</v>
      </c>
      <c r="S70" s="9">
        <v>1.0929760055523572E-2</v>
      </c>
      <c r="T70" s="10"/>
    </row>
    <row r="71" spans="1:20" customFormat="1">
      <c r="A71" s="12" t="s">
        <v>75</v>
      </c>
      <c r="B71" t="s">
        <v>591</v>
      </c>
      <c r="C71" t="s">
        <v>155</v>
      </c>
      <c r="D71" t="s">
        <v>128</v>
      </c>
      <c r="E71" t="s">
        <v>151</v>
      </c>
      <c r="F71" s="4"/>
      <c r="G71" s="7">
        <v>11243096</v>
      </c>
      <c r="H71" s="7">
        <v>10998392</v>
      </c>
      <c r="I71" s="8"/>
      <c r="J71" s="7">
        <v>2562300</v>
      </c>
      <c r="K71" s="7">
        <v>7866684</v>
      </c>
      <c r="L71" s="7">
        <v>569408</v>
      </c>
      <c r="M71" s="7">
        <v>8436092</v>
      </c>
      <c r="N71" s="8"/>
      <c r="O71" s="7">
        <f t="shared" si="1"/>
        <v>2428205</v>
      </c>
      <c r="P71" s="7">
        <v>7910414</v>
      </c>
      <c r="Q71" s="7">
        <v>659773</v>
      </c>
      <c r="R71" s="7">
        <v>8570187</v>
      </c>
      <c r="S71" s="9">
        <v>1.2192236828801883E-2</v>
      </c>
      <c r="T71" s="10"/>
    </row>
    <row r="72" spans="1:20" customFormat="1">
      <c r="A72" s="12" t="s">
        <v>172</v>
      </c>
      <c r="B72" t="s">
        <v>593</v>
      </c>
      <c r="C72" t="s">
        <v>154</v>
      </c>
      <c r="D72" t="s">
        <v>128</v>
      </c>
      <c r="E72" t="s">
        <v>152</v>
      </c>
      <c r="F72" s="4"/>
      <c r="G72" s="7">
        <v>30867502</v>
      </c>
      <c r="H72" s="7">
        <v>30866056</v>
      </c>
      <c r="I72" s="8"/>
      <c r="J72" s="7">
        <v>8233699</v>
      </c>
      <c r="K72" s="7">
        <v>21107035</v>
      </c>
      <c r="L72" s="7">
        <v>1525322</v>
      </c>
      <c r="M72" s="7">
        <v>22632357</v>
      </c>
      <c r="N72" s="8"/>
      <c r="O72" s="7">
        <f t="shared" si="1"/>
        <v>7868297</v>
      </c>
      <c r="P72" s="7">
        <v>21213117</v>
      </c>
      <c r="Q72" s="7">
        <v>1784642</v>
      </c>
      <c r="R72" s="7">
        <v>22997759</v>
      </c>
      <c r="S72" s="9">
        <v>1.1838311963148126E-2</v>
      </c>
      <c r="T72" s="10"/>
    </row>
    <row r="73" spans="1:20" customFormat="1">
      <c r="A73" s="12" t="s">
        <v>454</v>
      </c>
      <c r="B73" t="s">
        <v>597</v>
      </c>
      <c r="C73" t="s">
        <v>157</v>
      </c>
      <c r="D73" t="s">
        <v>128</v>
      </c>
      <c r="E73" t="s">
        <v>152</v>
      </c>
      <c r="F73" s="4"/>
      <c r="G73" s="7">
        <v>22494644</v>
      </c>
      <c r="H73" s="7">
        <v>22398836</v>
      </c>
      <c r="I73" s="8"/>
      <c r="J73" s="7">
        <v>5646355</v>
      </c>
      <c r="K73" s="7">
        <v>15573740</v>
      </c>
      <c r="L73" s="7">
        <v>1178741</v>
      </c>
      <c r="M73" s="7">
        <v>16752481</v>
      </c>
      <c r="N73" s="8"/>
      <c r="O73" s="7">
        <f t="shared" si="1"/>
        <v>5376599</v>
      </c>
      <c r="P73" s="7">
        <v>15661974</v>
      </c>
      <c r="Q73" s="7">
        <v>1360263</v>
      </c>
      <c r="R73" s="7">
        <v>17022237</v>
      </c>
      <c r="S73" s="9">
        <v>1.2043304393139E-2</v>
      </c>
      <c r="T73" s="10"/>
    </row>
    <row r="74" spans="1:20" customFormat="1">
      <c r="A74" s="12" t="s">
        <v>431</v>
      </c>
      <c r="B74" t="s">
        <v>599</v>
      </c>
      <c r="C74" t="s">
        <v>156</v>
      </c>
      <c r="D74" t="s">
        <v>126</v>
      </c>
      <c r="E74" t="s">
        <v>152</v>
      </c>
      <c r="F74" s="4"/>
      <c r="G74" s="7">
        <v>32461386</v>
      </c>
      <c r="H74" s="7">
        <v>31751108</v>
      </c>
      <c r="I74" s="8"/>
      <c r="J74" s="7">
        <v>6795679</v>
      </c>
      <c r="K74" s="7">
        <v>23186603</v>
      </c>
      <c r="L74" s="7">
        <v>1768826</v>
      </c>
      <c r="M74" s="7">
        <v>24955429</v>
      </c>
      <c r="N74" s="8"/>
      <c r="O74" s="7">
        <f t="shared" si="1"/>
        <v>6415463</v>
      </c>
      <c r="P74" s="7">
        <v>23315151</v>
      </c>
      <c r="Q74" s="7">
        <v>2020494</v>
      </c>
      <c r="R74" s="7">
        <v>25335645</v>
      </c>
      <c r="S74" s="9">
        <v>1.1974889191268538E-2</v>
      </c>
      <c r="T74" s="10"/>
    </row>
    <row r="75" spans="1:20" customFormat="1">
      <c r="A75" s="12" t="s">
        <v>223</v>
      </c>
      <c r="B75" t="s">
        <v>608</v>
      </c>
      <c r="C75" t="s">
        <v>154</v>
      </c>
      <c r="D75" t="s">
        <v>128</v>
      </c>
      <c r="E75" t="s">
        <v>152</v>
      </c>
      <c r="F75" s="4"/>
      <c r="G75" s="7">
        <v>14629338</v>
      </c>
      <c r="H75" s="7">
        <v>14628151</v>
      </c>
      <c r="I75" s="8"/>
      <c r="J75" s="7">
        <v>4306030</v>
      </c>
      <c r="K75" s="7">
        <v>9614419</v>
      </c>
      <c r="L75" s="7">
        <v>707702</v>
      </c>
      <c r="M75" s="7">
        <v>10322121</v>
      </c>
      <c r="N75" s="8"/>
      <c r="O75" s="7">
        <f t="shared" si="1"/>
        <v>4139362</v>
      </c>
      <c r="P75" s="7">
        <v>9664768</v>
      </c>
      <c r="Q75" s="7">
        <v>824021</v>
      </c>
      <c r="R75" s="7">
        <v>10488789</v>
      </c>
      <c r="S75" s="9">
        <v>1.1393647768607256E-2</v>
      </c>
      <c r="T75" s="10"/>
    </row>
    <row r="76" spans="1:20" customFormat="1">
      <c r="A76" s="12" t="s">
        <v>139</v>
      </c>
      <c r="B76" t="s">
        <v>609</v>
      </c>
      <c r="C76" t="s">
        <v>154</v>
      </c>
      <c r="D76" t="s">
        <v>128</v>
      </c>
      <c r="E76" t="s">
        <v>151</v>
      </c>
      <c r="F76" s="4"/>
      <c r="G76" s="7">
        <v>12051256</v>
      </c>
      <c r="H76" s="7">
        <v>12050517</v>
      </c>
      <c r="I76" s="8"/>
      <c r="J76" s="7">
        <v>3493218</v>
      </c>
      <c r="K76" s="7">
        <v>7916519</v>
      </c>
      <c r="L76" s="7">
        <v>640780</v>
      </c>
      <c r="M76" s="7">
        <v>8557299</v>
      </c>
      <c r="N76" s="8"/>
      <c r="O76" s="7">
        <f t="shared" si="1"/>
        <v>3359953</v>
      </c>
      <c r="P76" s="7">
        <v>7955378</v>
      </c>
      <c r="Q76" s="7">
        <v>735186</v>
      </c>
      <c r="R76" s="7">
        <v>8690564</v>
      </c>
      <c r="S76" s="9">
        <v>1.1058861623945263E-2</v>
      </c>
      <c r="T76" s="10"/>
    </row>
    <row r="77" spans="1:20" customFormat="1">
      <c r="A77" s="12" t="s">
        <v>470</v>
      </c>
      <c r="B77" t="s">
        <v>610</v>
      </c>
      <c r="C77" t="s">
        <v>157</v>
      </c>
      <c r="D77" t="s">
        <v>126</v>
      </c>
      <c r="E77" t="s">
        <v>152</v>
      </c>
      <c r="F77" s="4"/>
      <c r="G77" s="7">
        <v>23324670</v>
      </c>
      <c r="H77" s="7">
        <v>22955330</v>
      </c>
      <c r="I77" s="8"/>
      <c r="J77" s="7">
        <v>5492934</v>
      </c>
      <c r="K77" s="7">
        <v>16230309</v>
      </c>
      <c r="L77" s="7">
        <v>1232087</v>
      </c>
      <c r="M77" s="7">
        <v>17462396</v>
      </c>
      <c r="N77" s="8"/>
      <c r="O77" s="7">
        <f t="shared" si="1"/>
        <v>5200588</v>
      </c>
      <c r="P77" s="7">
        <v>16332589</v>
      </c>
      <c r="Q77" s="7">
        <v>1422153</v>
      </c>
      <c r="R77" s="7">
        <v>17754742</v>
      </c>
      <c r="S77" s="9">
        <v>1.2735430072231591E-2</v>
      </c>
      <c r="T77" s="10"/>
    </row>
    <row r="78" spans="1:20" customFormat="1">
      <c r="A78" s="12" t="s">
        <v>201</v>
      </c>
      <c r="B78" t="s">
        <v>611</v>
      </c>
      <c r="C78" t="s">
        <v>154</v>
      </c>
      <c r="D78" t="s">
        <v>128</v>
      </c>
      <c r="E78" t="s">
        <v>152</v>
      </c>
      <c r="F78" s="4"/>
      <c r="G78" s="7">
        <v>33349884</v>
      </c>
      <c r="H78" s="7">
        <v>33348245</v>
      </c>
      <c r="I78" s="8"/>
      <c r="J78" s="7">
        <v>8500603</v>
      </c>
      <c r="K78" s="7">
        <v>23022792</v>
      </c>
      <c r="L78" s="7">
        <v>1824850</v>
      </c>
      <c r="M78" s="7">
        <v>24847642</v>
      </c>
      <c r="N78" s="8"/>
      <c r="O78" s="7">
        <f t="shared" si="1"/>
        <v>8117161</v>
      </c>
      <c r="P78" s="7">
        <v>23136901</v>
      </c>
      <c r="Q78" s="7">
        <v>2094183</v>
      </c>
      <c r="R78" s="7">
        <v>25231084</v>
      </c>
      <c r="S78" s="9">
        <v>1.1498116317665293E-2</v>
      </c>
      <c r="T78" s="10"/>
    </row>
    <row r="79" spans="1:20" customFormat="1">
      <c r="A79" s="12" t="s">
        <v>221</v>
      </c>
      <c r="B79" t="s">
        <v>612</v>
      </c>
      <c r="C79" t="s">
        <v>154</v>
      </c>
      <c r="D79" t="s">
        <v>128</v>
      </c>
      <c r="E79" t="s">
        <v>152</v>
      </c>
      <c r="F79" s="4"/>
      <c r="G79" s="7">
        <v>47013574</v>
      </c>
      <c r="H79" s="7">
        <v>47010261</v>
      </c>
      <c r="I79" s="8"/>
      <c r="J79" s="7">
        <v>14755048</v>
      </c>
      <c r="K79" s="7">
        <v>29727192</v>
      </c>
      <c r="L79" s="7">
        <v>2528021</v>
      </c>
      <c r="M79" s="7">
        <v>32255213</v>
      </c>
      <c r="N79" s="8"/>
      <c r="O79" s="7">
        <f t="shared" si="1"/>
        <v>14242956</v>
      </c>
      <c r="P79" s="7">
        <v>29901331</v>
      </c>
      <c r="Q79" s="7">
        <v>2865974</v>
      </c>
      <c r="R79" s="7">
        <v>32767305</v>
      </c>
      <c r="S79" s="9">
        <v>1.089319627474521E-2</v>
      </c>
      <c r="T79" s="10"/>
    </row>
    <row r="80" spans="1:20" customFormat="1">
      <c r="A80" s="12" t="s">
        <v>25</v>
      </c>
      <c r="B80" t="s">
        <v>613</v>
      </c>
      <c r="C80" t="s">
        <v>157</v>
      </c>
      <c r="D80" t="s">
        <v>126</v>
      </c>
      <c r="E80" t="s">
        <v>151</v>
      </c>
      <c r="F80" s="4"/>
      <c r="G80" s="7">
        <v>15272326</v>
      </c>
      <c r="H80" s="7">
        <v>15214105</v>
      </c>
      <c r="I80" s="8"/>
      <c r="J80" s="7">
        <v>3689942</v>
      </c>
      <c r="K80" s="7">
        <v>10713318</v>
      </c>
      <c r="L80" s="7">
        <v>810845</v>
      </c>
      <c r="M80" s="7">
        <v>11524163</v>
      </c>
      <c r="N80" s="8"/>
      <c r="O80" s="7">
        <f t="shared" si="1"/>
        <v>3496856</v>
      </c>
      <c r="P80" s="7">
        <v>10778125</v>
      </c>
      <c r="Q80" s="7">
        <v>939124</v>
      </c>
      <c r="R80" s="7">
        <v>11717249</v>
      </c>
      <c r="S80" s="9">
        <v>1.2691249337374758E-2</v>
      </c>
      <c r="T80" s="10"/>
    </row>
    <row r="81" spans="1:20" customFormat="1">
      <c r="A81" s="12" t="s">
        <v>7</v>
      </c>
      <c r="B81" t="s">
        <v>614</v>
      </c>
      <c r="C81" t="s">
        <v>157</v>
      </c>
      <c r="D81" t="s">
        <v>126</v>
      </c>
      <c r="E81" t="s">
        <v>152</v>
      </c>
      <c r="F81" s="4"/>
      <c r="G81" s="7">
        <v>21420240</v>
      </c>
      <c r="H81" s="7">
        <v>21330475</v>
      </c>
      <c r="I81" s="8"/>
      <c r="J81" s="7">
        <v>5342243</v>
      </c>
      <c r="K81" s="7">
        <v>14855595</v>
      </c>
      <c r="L81" s="7">
        <v>1132637</v>
      </c>
      <c r="M81" s="7">
        <v>15988232</v>
      </c>
      <c r="N81" s="8"/>
      <c r="O81" s="7">
        <f t="shared" si="1"/>
        <v>5061967</v>
      </c>
      <c r="P81" s="7">
        <v>14956996</v>
      </c>
      <c r="Q81" s="7">
        <v>1311512</v>
      </c>
      <c r="R81" s="7">
        <v>16268508</v>
      </c>
      <c r="S81" s="9">
        <v>1.3139698014226125E-2</v>
      </c>
      <c r="T81" s="10"/>
    </row>
    <row r="82" spans="1:20" customFormat="1">
      <c r="A82" s="12" t="s">
        <v>394</v>
      </c>
      <c r="B82" t="s">
        <v>617</v>
      </c>
      <c r="C82" t="s">
        <v>156</v>
      </c>
      <c r="D82" t="s">
        <v>126</v>
      </c>
      <c r="E82" t="s">
        <v>152</v>
      </c>
      <c r="F82" s="4"/>
      <c r="G82" s="7">
        <v>19810948</v>
      </c>
      <c r="H82" s="7">
        <v>19690692</v>
      </c>
      <c r="I82" s="8"/>
      <c r="J82" s="7">
        <v>4513659</v>
      </c>
      <c r="K82" s="7">
        <v>14064751</v>
      </c>
      <c r="L82" s="7">
        <v>1112282</v>
      </c>
      <c r="M82" s="7">
        <v>15177033</v>
      </c>
      <c r="N82" s="8"/>
      <c r="O82" s="7">
        <f t="shared" si="1"/>
        <v>4278244</v>
      </c>
      <c r="P82" s="7">
        <v>14148490</v>
      </c>
      <c r="Q82" s="7">
        <v>1263958</v>
      </c>
      <c r="R82" s="7">
        <v>15412448</v>
      </c>
      <c r="S82" s="9">
        <v>1.1955648892380218E-2</v>
      </c>
      <c r="T82" s="10"/>
    </row>
    <row r="83" spans="1:20" customFormat="1">
      <c r="A83" s="12" t="s">
        <v>97</v>
      </c>
      <c r="C83" t="s">
        <v>155</v>
      </c>
      <c r="D83" t="s">
        <v>128</v>
      </c>
      <c r="E83" t="s">
        <v>151</v>
      </c>
      <c r="F83" s="4"/>
      <c r="G83" s="7">
        <v>12998272</v>
      </c>
      <c r="H83" s="7">
        <v>12613670</v>
      </c>
      <c r="I83" s="8"/>
      <c r="J83" s="7">
        <v>3021404</v>
      </c>
      <c r="K83" s="7">
        <v>8881744</v>
      </c>
      <c r="L83" s="7">
        <v>710522</v>
      </c>
      <c r="M83" s="7">
        <v>9592266</v>
      </c>
      <c r="N83" s="8"/>
      <c r="O83" s="7">
        <f t="shared" si="1"/>
        <v>2891651</v>
      </c>
      <c r="P83" s="7">
        <v>8912940</v>
      </c>
      <c r="Q83" s="7">
        <v>809079</v>
      </c>
      <c r="R83" s="7">
        <v>9722019</v>
      </c>
      <c r="S83" s="9">
        <v>1.0286696893132609E-2</v>
      </c>
      <c r="T83" s="10"/>
    </row>
    <row r="84" spans="1:20" customFormat="1">
      <c r="A84" s="12" t="s">
        <v>12</v>
      </c>
      <c r="B84" t="s">
        <v>632</v>
      </c>
      <c r="C84" t="s">
        <v>157</v>
      </c>
      <c r="D84" t="s">
        <v>126</v>
      </c>
      <c r="E84" t="s">
        <v>151</v>
      </c>
      <c r="F84" s="4"/>
      <c r="G84" s="7">
        <v>15136124</v>
      </c>
      <c r="H84" s="7">
        <v>15055526</v>
      </c>
      <c r="I84" s="8"/>
      <c r="J84" s="7">
        <v>3478330</v>
      </c>
      <c r="K84" s="7">
        <v>10785447</v>
      </c>
      <c r="L84" s="7">
        <v>791749</v>
      </c>
      <c r="M84" s="7">
        <v>11577196</v>
      </c>
      <c r="N84" s="8"/>
      <c r="O84" s="7">
        <f t="shared" si="1"/>
        <v>3285114</v>
      </c>
      <c r="P84" s="7">
        <v>10853482</v>
      </c>
      <c r="Q84" s="7">
        <v>916930</v>
      </c>
      <c r="R84" s="7">
        <v>11770412</v>
      </c>
      <c r="S84" s="9">
        <v>1.2833560248907942E-2</v>
      </c>
      <c r="T84" s="10"/>
    </row>
    <row r="85" spans="1:20" customFormat="1">
      <c r="A85" s="12" t="s">
        <v>471</v>
      </c>
      <c r="B85" t="s">
        <v>645</v>
      </c>
      <c r="C85" t="s">
        <v>157</v>
      </c>
      <c r="D85" t="s">
        <v>126</v>
      </c>
      <c r="E85" t="s">
        <v>152</v>
      </c>
      <c r="F85" s="4"/>
      <c r="G85" s="7">
        <v>24253546</v>
      </c>
      <c r="H85" s="7">
        <v>24170526</v>
      </c>
      <c r="I85" s="8"/>
      <c r="J85" s="7">
        <v>5706739</v>
      </c>
      <c r="K85" s="7">
        <v>17183007</v>
      </c>
      <c r="L85" s="7">
        <v>1280780</v>
      </c>
      <c r="M85" s="7">
        <v>18463787</v>
      </c>
      <c r="N85" s="8"/>
      <c r="O85" s="7">
        <f t="shared" si="1"/>
        <v>5402391</v>
      </c>
      <c r="P85" s="7">
        <v>17285500</v>
      </c>
      <c r="Q85" s="7">
        <v>1482635</v>
      </c>
      <c r="R85" s="7">
        <v>18768135</v>
      </c>
      <c r="S85" s="9">
        <v>1.2591699493838074E-2</v>
      </c>
      <c r="T85" s="10"/>
    </row>
    <row r="86" spans="1:20" customFormat="1">
      <c r="A86" s="12" t="s">
        <v>363</v>
      </c>
      <c r="B86" t="s">
        <v>657</v>
      </c>
      <c r="C86" t="s">
        <v>123</v>
      </c>
      <c r="D86" t="s">
        <v>128</v>
      </c>
      <c r="E86" t="s">
        <v>151</v>
      </c>
      <c r="F86" s="4"/>
      <c r="G86" s="7">
        <v>15123926</v>
      </c>
      <c r="H86" s="7">
        <v>15072605</v>
      </c>
      <c r="I86" s="8"/>
      <c r="J86" s="7">
        <v>4042577</v>
      </c>
      <c r="K86" s="7">
        <v>10228575</v>
      </c>
      <c r="L86" s="7">
        <v>801453</v>
      </c>
      <c r="M86" s="7">
        <v>11030028</v>
      </c>
      <c r="N86" s="8"/>
      <c r="O86" s="7">
        <f t="shared" si="1"/>
        <v>3871990</v>
      </c>
      <c r="P86" s="7">
        <v>10275308</v>
      </c>
      <c r="Q86" s="7">
        <v>925307</v>
      </c>
      <c r="R86" s="7">
        <v>11200615</v>
      </c>
      <c r="S86" s="9">
        <v>1.1317685297266133E-2</v>
      </c>
      <c r="T86" s="10"/>
    </row>
    <row r="87" spans="1:20" customFormat="1">
      <c r="A87" s="12" t="s">
        <v>522</v>
      </c>
      <c r="B87" t="s">
        <v>967</v>
      </c>
      <c r="C87" t="s">
        <v>154</v>
      </c>
      <c r="D87" t="s">
        <v>128</v>
      </c>
      <c r="E87" t="s">
        <v>152</v>
      </c>
      <c r="F87" s="4"/>
      <c r="G87" s="7">
        <v>13352170</v>
      </c>
      <c r="H87" s="7">
        <v>13351105</v>
      </c>
      <c r="I87" s="8"/>
      <c r="J87" s="7">
        <v>4342538</v>
      </c>
      <c r="K87" s="7">
        <v>8407327</v>
      </c>
      <c r="L87" s="7">
        <v>601240</v>
      </c>
      <c r="M87" s="7">
        <v>9008567</v>
      </c>
      <c r="N87" s="8"/>
      <c r="O87" s="7">
        <f t="shared" si="1"/>
        <v>4207781</v>
      </c>
      <c r="P87" s="7">
        <v>8443399</v>
      </c>
      <c r="Q87" s="7">
        <v>699925</v>
      </c>
      <c r="R87" s="7">
        <v>9143324</v>
      </c>
      <c r="S87" s="9">
        <v>1.0093321863621026E-2</v>
      </c>
      <c r="T87" s="10"/>
    </row>
    <row r="88" spans="1:20" customFormat="1">
      <c r="A88" s="12" t="s">
        <v>208</v>
      </c>
      <c r="C88" t="s">
        <v>154</v>
      </c>
      <c r="D88" t="s">
        <v>128</v>
      </c>
      <c r="E88" t="s">
        <v>152</v>
      </c>
      <c r="F88" s="4"/>
      <c r="G88" s="7">
        <v>19804834</v>
      </c>
      <c r="H88" s="7">
        <v>19802363</v>
      </c>
      <c r="I88" s="8"/>
      <c r="J88" s="7">
        <v>6179878</v>
      </c>
      <c r="K88" s="7">
        <v>12753865</v>
      </c>
      <c r="L88" s="7">
        <v>868620</v>
      </c>
      <c r="M88" s="7">
        <v>13622485</v>
      </c>
      <c r="N88" s="8"/>
      <c r="O88" s="7">
        <f t="shared" si="1"/>
        <v>5938696</v>
      </c>
      <c r="P88" s="7">
        <v>12841831</v>
      </c>
      <c r="Q88" s="7">
        <v>1021836</v>
      </c>
      <c r="R88" s="7">
        <v>13863667</v>
      </c>
      <c r="S88" s="9">
        <v>1.2179455552854979E-2</v>
      </c>
      <c r="T88" s="10"/>
    </row>
    <row r="89" spans="1:20" customFormat="1">
      <c r="A89" s="12" t="s">
        <v>343</v>
      </c>
      <c r="B89" t="s">
        <v>681</v>
      </c>
      <c r="C89" t="s">
        <v>123</v>
      </c>
      <c r="D89" t="s">
        <v>126</v>
      </c>
      <c r="E89" t="s">
        <v>151</v>
      </c>
      <c r="F89" s="4"/>
      <c r="G89" s="7">
        <v>13573968</v>
      </c>
      <c r="H89" s="7">
        <v>13549253</v>
      </c>
      <c r="I89" s="8"/>
      <c r="J89" s="7">
        <v>3385303</v>
      </c>
      <c r="K89" s="7">
        <v>9475897</v>
      </c>
      <c r="L89" s="7">
        <v>688053</v>
      </c>
      <c r="M89" s="7">
        <v>10163950</v>
      </c>
      <c r="N89" s="8"/>
      <c r="O89" s="7">
        <f t="shared" si="1"/>
        <v>3231151</v>
      </c>
      <c r="P89" s="7">
        <v>9525068</v>
      </c>
      <c r="Q89" s="7">
        <v>793034</v>
      </c>
      <c r="R89" s="7">
        <v>10318102</v>
      </c>
      <c r="S89" s="9">
        <v>1.137715857841019E-2</v>
      </c>
      <c r="T89" s="10"/>
    </row>
    <row r="90" spans="1:20" customFormat="1">
      <c r="A90" s="12" t="s">
        <v>78</v>
      </c>
      <c r="B90" t="s">
        <v>683</v>
      </c>
      <c r="C90" t="s">
        <v>155</v>
      </c>
      <c r="D90" t="s">
        <v>128</v>
      </c>
      <c r="E90" t="s">
        <v>151</v>
      </c>
      <c r="F90" s="4"/>
      <c r="G90" s="7">
        <v>16372436</v>
      </c>
      <c r="H90" s="7">
        <v>16274597</v>
      </c>
      <c r="I90" s="8"/>
      <c r="J90" s="7">
        <v>3847822</v>
      </c>
      <c r="K90" s="7">
        <v>11575291</v>
      </c>
      <c r="L90" s="7">
        <v>851484</v>
      </c>
      <c r="M90" s="7">
        <v>12426775</v>
      </c>
      <c r="N90" s="8"/>
      <c r="O90" s="7">
        <f t="shared" si="1"/>
        <v>3651925</v>
      </c>
      <c r="P90" s="7">
        <v>11640688</v>
      </c>
      <c r="Q90" s="7">
        <v>981984</v>
      </c>
      <c r="R90" s="7">
        <v>12622672</v>
      </c>
      <c r="S90" s="9">
        <v>1.2036980086204286E-2</v>
      </c>
      <c r="T90" s="10"/>
    </row>
    <row r="91" spans="1:20" customFormat="1">
      <c r="A91" s="12" t="s">
        <v>177</v>
      </c>
      <c r="B91" t="s">
        <v>684</v>
      </c>
      <c r="C91" t="s">
        <v>154</v>
      </c>
      <c r="D91" t="s">
        <v>128</v>
      </c>
      <c r="E91" t="s">
        <v>152</v>
      </c>
      <c r="F91" s="4"/>
      <c r="G91" s="7">
        <v>28940070</v>
      </c>
      <c r="H91" s="7">
        <v>28938401</v>
      </c>
      <c r="I91" s="8"/>
      <c r="J91" s="7">
        <v>9090397</v>
      </c>
      <c r="K91" s="7">
        <v>18477127</v>
      </c>
      <c r="L91" s="7">
        <v>1370877</v>
      </c>
      <c r="M91" s="7">
        <v>19848004</v>
      </c>
      <c r="N91" s="8"/>
      <c r="O91" s="7">
        <f t="shared" si="1"/>
        <v>8793643</v>
      </c>
      <c r="P91" s="7">
        <v>18557114</v>
      </c>
      <c r="Q91" s="7">
        <v>1587644</v>
      </c>
      <c r="R91" s="7">
        <v>20144758</v>
      </c>
      <c r="S91" s="9">
        <v>1.0254678549792713E-2</v>
      </c>
      <c r="T91" s="10"/>
    </row>
    <row r="92" spans="1:20" customFormat="1">
      <c r="A92" s="12" t="s">
        <v>319</v>
      </c>
      <c r="B92" t="s">
        <v>687</v>
      </c>
      <c r="C92" t="s">
        <v>122</v>
      </c>
      <c r="D92" t="s">
        <v>126</v>
      </c>
      <c r="E92" t="s">
        <v>152</v>
      </c>
      <c r="F92" s="4"/>
      <c r="G92" s="7">
        <v>43249892</v>
      </c>
      <c r="H92" s="7">
        <v>43075646</v>
      </c>
      <c r="I92" s="8"/>
      <c r="J92" s="7">
        <v>13581381</v>
      </c>
      <c r="K92" s="7">
        <v>27513148</v>
      </c>
      <c r="L92" s="7">
        <v>1981117</v>
      </c>
      <c r="M92" s="7">
        <v>29494265</v>
      </c>
      <c r="N92" s="8"/>
      <c r="O92" s="7">
        <f t="shared" si="1"/>
        <v>13143121</v>
      </c>
      <c r="P92" s="7">
        <v>27630863</v>
      </c>
      <c r="Q92" s="7">
        <v>2301662</v>
      </c>
      <c r="R92" s="7">
        <v>29932525</v>
      </c>
      <c r="S92" s="9">
        <v>1.0174194485672949E-2</v>
      </c>
      <c r="T92" s="10"/>
    </row>
    <row r="93" spans="1:20" customFormat="1">
      <c r="A93" s="12" t="s">
        <v>266</v>
      </c>
      <c r="C93" t="s">
        <v>158</v>
      </c>
      <c r="D93" t="s">
        <v>126</v>
      </c>
      <c r="E93" t="s">
        <v>152</v>
      </c>
      <c r="F93" s="4"/>
      <c r="G93" s="7">
        <v>30609436</v>
      </c>
      <c r="H93" s="7">
        <v>30191166</v>
      </c>
      <c r="I93" s="8"/>
      <c r="J93" s="7">
        <v>6497708</v>
      </c>
      <c r="K93" s="7">
        <v>22152996</v>
      </c>
      <c r="L93" s="7">
        <v>1540462</v>
      </c>
      <c r="M93" s="7">
        <v>23693458</v>
      </c>
      <c r="N93" s="8"/>
      <c r="O93" s="7">
        <f t="shared" si="1"/>
        <v>6145675</v>
      </c>
      <c r="P93" s="7">
        <v>22254048</v>
      </c>
      <c r="Q93" s="7">
        <v>1791443</v>
      </c>
      <c r="R93" s="7">
        <v>24045491</v>
      </c>
      <c r="S93" s="9">
        <v>1.1660132636149264E-2</v>
      </c>
      <c r="T93" s="10"/>
    </row>
    <row r="94" spans="1:20" customFormat="1">
      <c r="A94" s="12" t="s">
        <v>42</v>
      </c>
      <c r="B94" t="s">
        <v>718</v>
      </c>
      <c r="C94" t="s">
        <v>158</v>
      </c>
      <c r="D94" t="s">
        <v>126</v>
      </c>
      <c r="E94" t="s">
        <v>152</v>
      </c>
      <c r="F94" s="4"/>
      <c r="G94" s="7">
        <v>19680402</v>
      </c>
      <c r="H94" s="7">
        <v>19349104</v>
      </c>
      <c r="I94" s="8"/>
      <c r="J94" s="7">
        <v>4897811</v>
      </c>
      <c r="K94" s="7">
        <v>13410083</v>
      </c>
      <c r="L94" s="7">
        <v>1041210</v>
      </c>
      <c r="M94" s="7">
        <v>14451293</v>
      </c>
      <c r="N94" s="8"/>
      <c r="O94" s="7">
        <f t="shared" si="1"/>
        <v>4666264</v>
      </c>
      <c r="P94" s="7">
        <v>13491486</v>
      </c>
      <c r="Q94" s="7">
        <v>1191354</v>
      </c>
      <c r="R94" s="7">
        <v>14682840</v>
      </c>
      <c r="S94" s="9">
        <v>1.1966807351906321E-2</v>
      </c>
      <c r="T94" s="10"/>
    </row>
    <row r="95" spans="1:20" customFormat="1">
      <c r="A95" s="12" t="s">
        <v>98</v>
      </c>
      <c r="B95" t="s">
        <v>726</v>
      </c>
      <c r="C95" t="s">
        <v>155</v>
      </c>
      <c r="D95" t="s">
        <v>128</v>
      </c>
      <c r="E95" t="s">
        <v>151</v>
      </c>
      <c r="F95" s="4"/>
      <c r="G95" s="7">
        <v>12681668</v>
      </c>
      <c r="H95" s="7">
        <v>12626129</v>
      </c>
      <c r="I95" s="8"/>
      <c r="J95" s="7">
        <v>3192075</v>
      </c>
      <c r="K95" s="7">
        <v>8818735</v>
      </c>
      <c r="L95" s="7">
        <v>615319</v>
      </c>
      <c r="M95" s="7">
        <v>9434054</v>
      </c>
      <c r="N95" s="8"/>
      <c r="O95" s="7">
        <f t="shared" si="1"/>
        <v>3038629</v>
      </c>
      <c r="P95" s="7">
        <v>8868275</v>
      </c>
      <c r="Q95" s="7">
        <v>719225</v>
      </c>
      <c r="R95" s="7">
        <v>9587500</v>
      </c>
      <c r="S95" s="9">
        <v>1.2153051818178003E-2</v>
      </c>
      <c r="T95" s="10"/>
    </row>
    <row r="96" spans="1:20" customFormat="1">
      <c r="A96" s="12" t="s">
        <v>184</v>
      </c>
      <c r="B96" t="s">
        <v>727</v>
      </c>
      <c r="C96" t="s">
        <v>154</v>
      </c>
      <c r="D96" t="s">
        <v>128</v>
      </c>
      <c r="E96" t="s">
        <v>151</v>
      </c>
      <c r="F96" s="4"/>
      <c r="G96" s="7">
        <v>10461970</v>
      </c>
      <c r="H96" s="7">
        <v>10461219</v>
      </c>
      <c r="I96" s="8"/>
      <c r="J96" s="7">
        <v>3422725</v>
      </c>
      <c r="K96" s="7">
        <v>6509360</v>
      </c>
      <c r="L96" s="7">
        <v>529134</v>
      </c>
      <c r="M96" s="7">
        <v>7038494</v>
      </c>
      <c r="N96" s="8"/>
      <c r="O96" s="7">
        <f t="shared" si="1"/>
        <v>3309343</v>
      </c>
      <c r="P96" s="7">
        <v>6545304</v>
      </c>
      <c r="Q96" s="7">
        <v>606572</v>
      </c>
      <c r="R96" s="7">
        <v>7151876</v>
      </c>
      <c r="S96" s="9">
        <v>1.0838316261231124E-2</v>
      </c>
      <c r="T96" s="10"/>
    </row>
    <row r="97" spans="1:20" customFormat="1">
      <c r="A97" s="12" t="s">
        <v>63</v>
      </c>
      <c r="B97" t="s">
        <v>728</v>
      </c>
      <c r="C97" t="s">
        <v>155</v>
      </c>
      <c r="D97" t="s">
        <v>128</v>
      </c>
      <c r="E97" t="s">
        <v>152</v>
      </c>
      <c r="F97" s="4"/>
      <c r="G97" s="7">
        <v>17766902</v>
      </c>
      <c r="H97" s="7">
        <v>17684712</v>
      </c>
      <c r="I97" s="8"/>
      <c r="J97" s="7">
        <v>4378729</v>
      </c>
      <c r="K97" s="7">
        <v>12371704</v>
      </c>
      <c r="L97" s="7">
        <v>934279</v>
      </c>
      <c r="M97" s="7">
        <v>13305983</v>
      </c>
      <c r="N97" s="8"/>
      <c r="O97" s="7">
        <f t="shared" si="1"/>
        <v>4168248</v>
      </c>
      <c r="P97" s="7">
        <v>12437340</v>
      </c>
      <c r="Q97" s="7">
        <v>1079124</v>
      </c>
      <c r="R97" s="7">
        <v>13516464</v>
      </c>
      <c r="S97" s="9">
        <v>1.1901861901963684E-2</v>
      </c>
      <c r="T97" s="10"/>
    </row>
    <row r="98" spans="1:20" customFormat="1">
      <c r="A98" s="12" t="s">
        <v>164</v>
      </c>
      <c r="B98" t="s">
        <v>735</v>
      </c>
      <c r="C98" t="s">
        <v>129</v>
      </c>
      <c r="D98" t="s">
        <v>126</v>
      </c>
      <c r="E98" t="s">
        <v>152</v>
      </c>
      <c r="F98" s="4"/>
      <c r="G98" s="7">
        <v>423104568</v>
      </c>
      <c r="H98" s="7">
        <v>419405864</v>
      </c>
      <c r="I98" s="8"/>
      <c r="J98" s="7">
        <v>114248499</v>
      </c>
      <c r="K98" s="7">
        <v>285080070</v>
      </c>
      <c r="L98" s="7">
        <v>20077295</v>
      </c>
      <c r="M98" s="7">
        <v>305157365</v>
      </c>
      <c r="N98" s="8"/>
      <c r="O98" s="7">
        <f t="shared" si="1"/>
        <v>109470384</v>
      </c>
      <c r="P98" s="7">
        <v>286544950</v>
      </c>
      <c r="Q98" s="7">
        <v>23390530</v>
      </c>
      <c r="R98" s="7">
        <v>309935480</v>
      </c>
      <c r="S98" s="9">
        <v>1.1392580338361697E-2</v>
      </c>
      <c r="T98" s="10"/>
    </row>
    <row r="99" spans="1:20" customFormat="1">
      <c r="A99" s="12" t="s">
        <v>137</v>
      </c>
      <c r="B99" t="s">
        <v>742</v>
      </c>
      <c r="C99" t="s">
        <v>154</v>
      </c>
      <c r="D99" t="s">
        <v>126</v>
      </c>
      <c r="E99" t="s">
        <v>152</v>
      </c>
      <c r="F99" s="4"/>
      <c r="G99" s="7">
        <v>23882768</v>
      </c>
      <c r="H99" s="7">
        <v>23881030</v>
      </c>
      <c r="I99" s="8"/>
      <c r="J99" s="7">
        <v>5798059</v>
      </c>
      <c r="K99" s="7">
        <v>16784597</v>
      </c>
      <c r="L99" s="7">
        <v>1298374</v>
      </c>
      <c r="M99" s="7">
        <v>18082971</v>
      </c>
      <c r="N99" s="8"/>
      <c r="O99" s="7">
        <f t="shared" si="1"/>
        <v>5544019</v>
      </c>
      <c r="P99" s="7">
        <v>16843339</v>
      </c>
      <c r="Q99" s="7">
        <v>1493672</v>
      </c>
      <c r="R99" s="7">
        <v>18337011</v>
      </c>
      <c r="S99" s="9">
        <v>1.0637732124619416E-2</v>
      </c>
      <c r="T99" s="10"/>
    </row>
    <row r="100" spans="1:20" customFormat="1">
      <c r="A100" s="12" t="s">
        <v>398</v>
      </c>
      <c r="B100" t="s">
        <v>759</v>
      </c>
      <c r="C100" t="s">
        <v>156</v>
      </c>
      <c r="D100" t="s">
        <v>128</v>
      </c>
      <c r="E100" t="s">
        <v>151</v>
      </c>
      <c r="F100" s="4"/>
      <c r="G100" s="7">
        <v>10981916</v>
      </c>
      <c r="H100" s="7">
        <v>10931768</v>
      </c>
      <c r="I100" s="8"/>
      <c r="J100" s="7">
        <v>2436244</v>
      </c>
      <c r="K100" s="7">
        <v>7810816</v>
      </c>
      <c r="L100" s="7">
        <v>684708</v>
      </c>
      <c r="M100" s="7">
        <v>8495524</v>
      </c>
      <c r="N100" s="8"/>
      <c r="O100" s="7">
        <f t="shared" si="1"/>
        <v>2296755</v>
      </c>
      <c r="P100" s="7">
        <v>7865491</v>
      </c>
      <c r="Q100" s="7">
        <v>769522</v>
      </c>
      <c r="R100" s="7">
        <v>8635013</v>
      </c>
      <c r="S100" s="9">
        <v>1.2759967097728381E-2</v>
      </c>
      <c r="T100" s="10"/>
    </row>
    <row r="101" spans="1:20" customFormat="1">
      <c r="A101" s="12" t="s">
        <v>272</v>
      </c>
      <c r="B101" t="s">
        <v>762</v>
      </c>
      <c r="C101" t="s">
        <v>158</v>
      </c>
      <c r="D101" t="s">
        <v>126</v>
      </c>
      <c r="E101" t="s">
        <v>152</v>
      </c>
      <c r="F101" s="4"/>
      <c r="G101" s="7">
        <v>20965486</v>
      </c>
      <c r="H101" s="7">
        <v>20519620</v>
      </c>
      <c r="I101" s="8"/>
      <c r="J101" s="7">
        <v>5608818</v>
      </c>
      <c r="K101" s="7">
        <v>13892274</v>
      </c>
      <c r="L101" s="7">
        <v>1018528</v>
      </c>
      <c r="M101" s="7">
        <v>14910802</v>
      </c>
      <c r="N101" s="8"/>
      <c r="O101" s="7">
        <f t="shared" si="1"/>
        <v>5356372</v>
      </c>
      <c r="P101" s="7">
        <v>13986167</v>
      </c>
      <c r="Q101" s="7">
        <v>1177081</v>
      </c>
      <c r="R101" s="7">
        <v>15163248</v>
      </c>
      <c r="S101" s="9">
        <v>1.2302664474293384E-2</v>
      </c>
      <c r="T101" s="10"/>
    </row>
    <row r="102" spans="1:20" customFormat="1">
      <c r="A102" s="12" t="s">
        <v>96</v>
      </c>
      <c r="B102" t="s">
        <v>764</v>
      </c>
      <c r="C102" t="s">
        <v>155</v>
      </c>
      <c r="D102" t="s">
        <v>128</v>
      </c>
      <c r="E102" t="s">
        <v>152</v>
      </c>
      <c r="F102" s="4"/>
      <c r="G102" s="7">
        <v>21468016</v>
      </c>
      <c r="H102" s="7">
        <v>21365719</v>
      </c>
      <c r="I102" s="8"/>
      <c r="J102" s="7">
        <v>7882259</v>
      </c>
      <c r="K102" s="7">
        <v>12619794</v>
      </c>
      <c r="L102" s="7">
        <v>863666</v>
      </c>
      <c r="M102" s="7">
        <v>13483460</v>
      </c>
      <c r="N102" s="8"/>
      <c r="O102" s="7">
        <f t="shared" si="1"/>
        <v>7645093</v>
      </c>
      <c r="P102" s="7">
        <v>12699649</v>
      </c>
      <c r="Q102" s="7">
        <v>1020977</v>
      </c>
      <c r="R102" s="7">
        <v>13720626</v>
      </c>
      <c r="S102" s="9">
        <v>1.1100305119617083E-2</v>
      </c>
      <c r="T102" s="10"/>
    </row>
    <row r="103" spans="1:20" customFormat="1">
      <c r="A103" s="12" t="s">
        <v>284</v>
      </c>
      <c r="B103" t="s">
        <v>779</v>
      </c>
      <c r="C103" t="s">
        <v>122</v>
      </c>
      <c r="D103" t="s">
        <v>126</v>
      </c>
      <c r="E103" t="s">
        <v>152</v>
      </c>
      <c r="F103" s="4"/>
      <c r="G103" s="7">
        <v>24072996</v>
      </c>
      <c r="H103" s="7">
        <v>23989637</v>
      </c>
      <c r="I103" s="8"/>
      <c r="J103" s="7">
        <v>7661332</v>
      </c>
      <c r="K103" s="7">
        <v>15230638</v>
      </c>
      <c r="L103" s="7">
        <v>1097667</v>
      </c>
      <c r="M103" s="7">
        <v>16328305</v>
      </c>
      <c r="N103" s="8"/>
      <c r="O103" s="7">
        <f t="shared" si="1"/>
        <v>7401535</v>
      </c>
      <c r="P103" s="7">
        <v>15320031</v>
      </c>
      <c r="Q103" s="7">
        <v>1268071</v>
      </c>
      <c r="R103" s="7">
        <v>16588102</v>
      </c>
      <c r="S103" s="9">
        <v>1.0829551109923006E-2</v>
      </c>
      <c r="T103" s="10"/>
    </row>
    <row r="104" spans="1:20" customFormat="1">
      <c r="A104" s="12" t="s">
        <v>259</v>
      </c>
      <c r="B104" t="s">
        <v>939</v>
      </c>
      <c r="C104" t="s">
        <v>158</v>
      </c>
      <c r="D104" t="s">
        <v>126</v>
      </c>
      <c r="E104" t="s">
        <v>152</v>
      </c>
      <c r="F104" s="4"/>
      <c r="G104" s="7">
        <v>20633426</v>
      </c>
      <c r="H104" s="7">
        <v>20525327</v>
      </c>
      <c r="I104" s="8"/>
      <c r="J104" s="7">
        <v>4974541</v>
      </c>
      <c r="K104" s="7">
        <v>14467711</v>
      </c>
      <c r="L104" s="7">
        <v>1083075</v>
      </c>
      <c r="M104" s="7">
        <v>15550786</v>
      </c>
      <c r="N104" s="8"/>
      <c r="O104" s="7">
        <f t="shared" si="1"/>
        <v>4731636</v>
      </c>
      <c r="P104" s="7">
        <v>14546190</v>
      </c>
      <c r="Q104" s="7">
        <v>1247501</v>
      </c>
      <c r="R104" s="7">
        <v>15793691</v>
      </c>
      <c r="S104" s="9">
        <v>1.1834403417787204E-2</v>
      </c>
      <c r="T104" s="10"/>
    </row>
    <row r="105" spans="1:20" customFormat="1">
      <c r="A105" s="12" t="s">
        <v>232</v>
      </c>
      <c r="B105" t="s">
        <v>940</v>
      </c>
      <c r="C105" t="s">
        <v>158</v>
      </c>
      <c r="D105" t="s">
        <v>126</v>
      </c>
      <c r="E105" t="s">
        <v>152</v>
      </c>
      <c r="F105" s="4"/>
      <c r="G105" s="7">
        <v>26169336</v>
      </c>
      <c r="H105" s="7">
        <v>25928822</v>
      </c>
      <c r="I105" s="8"/>
      <c r="J105" s="7">
        <v>6407220</v>
      </c>
      <c r="K105" s="7">
        <v>18167340</v>
      </c>
      <c r="L105" s="7">
        <v>1354262</v>
      </c>
      <c r="M105" s="7">
        <v>19521602</v>
      </c>
      <c r="N105" s="8"/>
      <c r="O105" s="7">
        <f t="shared" si="1"/>
        <v>6091277</v>
      </c>
      <c r="P105" s="7">
        <v>18281553</v>
      </c>
      <c r="Q105" s="7">
        <v>1555992</v>
      </c>
      <c r="R105" s="7">
        <v>19837545</v>
      </c>
      <c r="S105" s="9">
        <v>1.2185011721704905E-2</v>
      </c>
      <c r="T105" s="10"/>
    </row>
    <row r="106" spans="1:20" customFormat="1">
      <c r="A106" s="12" t="s">
        <v>52</v>
      </c>
      <c r="B106" t="s">
        <v>941</v>
      </c>
      <c r="C106" t="s">
        <v>158</v>
      </c>
      <c r="D106" t="s">
        <v>126</v>
      </c>
      <c r="E106" t="s">
        <v>152</v>
      </c>
      <c r="F106" s="4"/>
      <c r="G106" s="7">
        <v>20657414</v>
      </c>
      <c r="H106" s="7">
        <v>20565444</v>
      </c>
      <c r="I106" s="8"/>
      <c r="J106" s="7">
        <v>6400958</v>
      </c>
      <c r="K106" s="7">
        <v>13197081</v>
      </c>
      <c r="L106" s="7">
        <v>967405</v>
      </c>
      <c r="M106" s="7">
        <v>14164486</v>
      </c>
      <c r="N106" s="8"/>
      <c r="O106" s="7">
        <f t="shared" si="1"/>
        <v>6172577</v>
      </c>
      <c r="P106" s="7">
        <v>13273054</v>
      </c>
      <c r="Q106" s="7">
        <v>1119813</v>
      </c>
      <c r="R106" s="7">
        <v>14392867</v>
      </c>
      <c r="S106" s="9">
        <v>1.1105084820925822E-2</v>
      </c>
      <c r="T106" s="10"/>
    </row>
    <row r="107" spans="1:20" customFormat="1">
      <c r="A107" s="12" t="s">
        <v>32</v>
      </c>
      <c r="B107" t="s">
        <v>942</v>
      </c>
      <c r="C107" t="s">
        <v>157</v>
      </c>
      <c r="D107" t="s">
        <v>126</v>
      </c>
      <c r="E107" t="s">
        <v>151</v>
      </c>
      <c r="F107" s="4"/>
      <c r="G107" s="7">
        <v>16801966</v>
      </c>
      <c r="H107" s="7">
        <v>16385521</v>
      </c>
      <c r="I107" s="8"/>
      <c r="J107" s="7">
        <v>4694105</v>
      </c>
      <c r="K107" s="7">
        <v>10823679</v>
      </c>
      <c r="L107" s="7">
        <v>867737</v>
      </c>
      <c r="M107" s="7">
        <v>11691416</v>
      </c>
      <c r="N107" s="8"/>
      <c r="O107" s="7">
        <f t="shared" si="1"/>
        <v>4516188</v>
      </c>
      <c r="P107" s="7">
        <v>10879149</v>
      </c>
      <c r="Q107" s="7">
        <v>990184</v>
      </c>
      <c r="R107" s="7">
        <v>11869333</v>
      </c>
      <c r="S107" s="9">
        <v>1.0858183880756675E-2</v>
      </c>
      <c r="T107" s="10"/>
    </row>
    <row r="108" spans="1:20" customFormat="1">
      <c r="A108" s="12" t="s">
        <v>101</v>
      </c>
      <c r="B108" t="s">
        <v>783</v>
      </c>
      <c r="C108" t="s">
        <v>155</v>
      </c>
      <c r="D108" t="s">
        <v>128</v>
      </c>
      <c r="E108" t="s">
        <v>152</v>
      </c>
      <c r="F108" s="4"/>
      <c r="G108" s="7">
        <v>20677068</v>
      </c>
      <c r="H108" s="7">
        <v>20559683</v>
      </c>
      <c r="I108" s="8"/>
      <c r="J108" s="7">
        <v>5413067</v>
      </c>
      <c r="K108" s="7">
        <v>14157947</v>
      </c>
      <c r="L108" s="7">
        <v>988669</v>
      </c>
      <c r="M108" s="7">
        <v>15146616</v>
      </c>
      <c r="N108" s="8"/>
      <c r="O108" s="7">
        <f t="shared" si="1"/>
        <v>5163865</v>
      </c>
      <c r="P108" s="7">
        <v>14235788</v>
      </c>
      <c r="Q108" s="7">
        <v>1160030</v>
      </c>
      <c r="R108" s="7">
        <v>15395818</v>
      </c>
      <c r="S108" s="9">
        <v>1.2120906727987974E-2</v>
      </c>
      <c r="T108" s="10"/>
    </row>
    <row r="109" spans="1:20" customFormat="1">
      <c r="A109" s="12" t="s">
        <v>404</v>
      </c>
      <c r="B109" t="s">
        <v>784</v>
      </c>
      <c r="C109" t="s">
        <v>156</v>
      </c>
      <c r="D109" t="s">
        <v>128</v>
      </c>
      <c r="E109" t="s">
        <v>152</v>
      </c>
      <c r="F109" s="4"/>
      <c r="G109" s="7">
        <v>21080088</v>
      </c>
      <c r="H109" s="7">
        <v>20688387</v>
      </c>
      <c r="I109" s="8"/>
      <c r="J109" s="7">
        <v>4626482</v>
      </c>
      <c r="K109" s="7">
        <v>14887680</v>
      </c>
      <c r="L109" s="7">
        <v>1174225</v>
      </c>
      <c r="M109" s="7">
        <v>16061905</v>
      </c>
      <c r="N109" s="8"/>
      <c r="O109" s="7">
        <f t="shared" si="1"/>
        <v>4365656</v>
      </c>
      <c r="P109" s="7">
        <v>14989120</v>
      </c>
      <c r="Q109" s="7">
        <v>1333611</v>
      </c>
      <c r="R109" s="7">
        <v>16322731</v>
      </c>
      <c r="S109" s="9">
        <v>1.2607362768300883E-2</v>
      </c>
      <c r="T109" s="10"/>
    </row>
    <row r="110" spans="1:20" customFormat="1">
      <c r="A110" s="12" t="s">
        <v>247</v>
      </c>
      <c r="B110" t="s">
        <v>792</v>
      </c>
      <c r="C110" t="s">
        <v>158</v>
      </c>
      <c r="D110" t="s">
        <v>128</v>
      </c>
      <c r="E110" t="s">
        <v>152</v>
      </c>
      <c r="F110" s="4"/>
      <c r="G110" s="7">
        <v>16985198</v>
      </c>
      <c r="H110" s="7">
        <v>16757045</v>
      </c>
      <c r="I110" s="8"/>
      <c r="J110" s="7">
        <v>4166729</v>
      </c>
      <c r="K110" s="7">
        <v>11677692</v>
      </c>
      <c r="L110" s="7">
        <v>912624</v>
      </c>
      <c r="M110" s="7">
        <v>12590316</v>
      </c>
      <c r="N110" s="8"/>
      <c r="O110" s="7">
        <f t="shared" si="1"/>
        <v>3971118</v>
      </c>
      <c r="P110" s="7">
        <v>11739622</v>
      </c>
      <c r="Q110" s="7">
        <v>1046305</v>
      </c>
      <c r="R110" s="7">
        <v>12785927</v>
      </c>
      <c r="S110" s="9">
        <v>1.1673358876818675E-2</v>
      </c>
      <c r="T110" s="10"/>
    </row>
    <row r="111" spans="1:20" customFormat="1">
      <c r="A111" s="12">
        <v>740</v>
      </c>
      <c r="B111" t="s">
        <v>793</v>
      </c>
      <c r="C111" t="s">
        <v>123</v>
      </c>
      <c r="D111" t="s">
        <v>128</v>
      </c>
      <c r="E111" t="s">
        <v>151</v>
      </c>
      <c r="F111" s="4"/>
      <c r="G111" s="7">
        <v>13211132</v>
      </c>
      <c r="H111" s="7">
        <v>13183710</v>
      </c>
      <c r="I111" s="8"/>
      <c r="J111" s="7">
        <v>3779101</v>
      </c>
      <c r="K111" s="7">
        <v>8779891</v>
      </c>
      <c r="L111" s="7">
        <v>624718</v>
      </c>
      <c r="M111" s="7">
        <v>9404609</v>
      </c>
      <c r="N111" s="8"/>
      <c r="O111" s="7">
        <f t="shared" si="1"/>
        <v>3620658</v>
      </c>
      <c r="P111" s="7">
        <v>8831911</v>
      </c>
      <c r="Q111" s="7">
        <v>731141</v>
      </c>
      <c r="R111" s="7">
        <v>9563052</v>
      </c>
      <c r="S111" s="9">
        <v>1.2018088990124935E-2</v>
      </c>
      <c r="T111" s="10"/>
    </row>
    <row r="112" spans="1:20" customFormat="1">
      <c r="A112" s="12" t="s">
        <v>55</v>
      </c>
      <c r="B112" t="s">
        <v>800</v>
      </c>
      <c r="C112" t="s">
        <v>158</v>
      </c>
      <c r="D112" t="s">
        <v>126</v>
      </c>
      <c r="E112" t="s">
        <v>152</v>
      </c>
      <c r="F112" s="4"/>
      <c r="G112" s="7">
        <v>17418286</v>
      </c>
      <c r="H112" s="7">
        <v>17035020</v>
      </c>
      <c r="I112" s="8"/>
      <c r="J112" s="7">
        <v>4553532</v>
      </c>
      <c r="K112" s="7">
        <v>11604124</v>
      </c>
      <c r="L112" s="7">
        <v>877364</v>
      </c>
      <c r="M112" s="7">
        <v>12481488</v>
      </c>
      <c r="N112" s="8"/>
      <c r="O112" s="7">
        <f t="shared" si="1"/>
        <v>4352795</v>
      </c>
      <c r="P112" s="7">
        <v>11673101</v>
      </c>
      <c r="Q112" s="7">
        <v>1009124</v>
      </c>
      <c r="R112" s="7">
        <v>12682225</v>
      </c>
      <c r="S112" s="9">
        <v>1.1783784228019692E-2</v>
      </c>
      <c r="T112" s="10"/>
    </row>
    <row r="113" spans="1:20" customFormat="1">
      <c r="A113" s="12" t="s">
        <v>165</v>
      </c>
      <c r="B113" t="s">
        <v>801</v>
      </c>
      <c r="C113" t="s">
        <v>153</v>
      </c>
      <c r="D113" t="s">
        <v>126</v>
      </c>
      <c r="E113" t="s">
        <v>151</v>
      </c>
      <c r="F113" s="4"/>
      <c r="G113" s="7">
        <v>153949626</v>
      </c>
      <c r="H113" s="7">
        <v>153939474</v>
      </c>
      <c r="I113" s="8"/>
      <c r="J113" s="7">
        <v>19261116</v>
      </c>
      <c r="K113" s="7">
        <v>119172393</v>
      </c>
      <c r="L113" s="7">
        <v>15505965</v>
      </c>
      <c r="M113" s="7">
        <v>134678358</v>
      </c>
      <c r="N113" s="8"/>
      <c r="O113" s="7">
        <f t="shared" si="1"/>
        <v>17546300</v>
      </c>
      <c r="P113" s="7">
        <v>117604537</v>
      </c>
      <c r="Q113" s="7">
        <v>18788637</v>
      </c>
      <c r="R113" s="7">
        <v>136393174</v>
      </c>
      <c r="S113" s="9">
        <v>1.1139546962463961E-2</v>
      </c>
      <c r="T113" s="10"/>
    </row>
    <row r="114" spans="1:20" customFormat="1">
      <c r="A114" s="12" t="s">
        <v>279</v>
      </c>
      <c r="B114" t="s">
        <v>804</v>
      </c>
      <c r="C114" t="s">
        <v>122</v>
      </c>
      <c r="D114" t="s">
        <v>126</v>
      </c>
      <c r="E114" t="s">
        <v>152</v>
      </c>
      <c r="F114" s="4"/>
      <c r="G114" s="7">
        <v>18767492</v>
      </c>
      <c r="H114" s="7">
        <v>18544952</v>
      </c>
      <c r="I114" s="8"/>
      <c r="J114" s="7">
        <v>4455733</v>
      </c>
      <c r="K114" s="7">
        <v>13111675</v>
      </c>
      <c r="L114" s="7">
        <v>977544</v>
      </c>
      <c r="M114" s="7">
        <v>14089219</v>
      </c>
      <c r="N114" s="8"/>
      <c r="O114" s="7">
        <f t="shared" si="1"/>
        <v>4237828</v>
      </c>
      <c r="P114" s="7">
        <v>13178616</v>
      </c>
      <c r="Q114" s="7">
        <v>1128508</v>
      </c>
      <c r="R114" s="7">
        <v>14307124</v>
      </c>
      <c r="S114" s="9">
        <v>1.1750097816376122E-2</v>
      </c>
      <c r="T114" s="10"/>
    </row>
    <row r="115" spans="1:20" customFormat="1">
      <c r="A115" s="12" t="s">
        <v>407</v>
      </c>
      <c r="B115" t="s">
        <v>805</v>
      </c>
      <c r="C115" t="s">
        <v>156</v>
      </c>
      <c r="D115" t="s">
        <v>128</v>
      </c>
      <c r="E115" t="s">
        <v>152</v>
      </c>
      <c r="F115" s="4"/>
      <c r="G115" s="7">
        <v>18760922</v>
      </c>
      <c r="H115" s="7">
        <v>18314837</v>
      </c>
      <c r="I115" s="8"/>
      <c r="J115" s="7">
        <v>4441368</v>
      </c>
      <c r="K115" s="7">
        <v>12874179</v>
      </c>
      <c r="L115" s="7">
        <v>999290</v>
      </c>
      <c r="M115" s="7">
        <v>13873469</v>
      </c>
      <c r="N115" s="8"/>
      <c r="O115" s="7">
        <f t="shared" si="1"/>
        <v>4229138</v>
      </c>
      <c r="P115" s="7">
        <v>12945062</v>
      </c>
      <c r="Q115" s="7">
        <v>1140637</v>
      </c>
      <c r="R115" s="7">
        <v>14085699</v>
      </c>
      <c r="S115" s="9">
        <v>1.158787271762233E-2</v>
      </c>
      <c r="T115" s="10"/>
    </row>
    <row r="116" spans="1:20" customFormat="1">
      <c r="A116" s="12" t="s">
        <v>291</v>
      </c>
      <c r="B116" t="s">
        <v>810</v>
      </c>
      <c r="C116" t="s">
        <v>122</v>
      </c>
      <c r="D116" t="s">
        <v>126</v>
      </c>
      <c r="E116" t="s">
        <v>152</v>
      </c>
      <c r="F116" s="4"/>
      <c r="G116" s="7">
        <v>17774018</v>
      </c>
      <c r="H116" s="7">
        <v>17722053</v>
      </c>
      <c r="I116" s="8"/>
      <c r="J116" s="7">
        <v>5359731</v>
      </c>
      <c r="K116" s="7">
        <v>11478918</v>
      </c>
      <c r="L116" s="7">
        <v>883404</v>
      </c>
      <c r="M116" s="7">
        <v>12362322</v>
      </c>
      <c r="N116" s="8"/>
      <c r="O116" s="7">
        <f t="shared" si="1"/>
        <v>5163393</v>
      </c>
      <c r="P116" s="7">
        <v>11541841</v>
      </c>
      <c r="Q116" s="7">
        <v>1016819</v>
      </c>
      <c r="R116" s="7">
        <v>12558660</v>
      </c>
      <c r="S116" s="9">
        <v>1.1078739015169405E-2</v>
      </c>
      <c r="T116" s="10"/>
    </row>
    <row r="117" spans="1:20" customFormat="1">
      <c r="A117" s="12" t="s">
        <v>311</v>
      </c>
      <c r="B117" t="s">
        <v>811</v>
      </c>
      <c r="C117" t="s">
        <v>122</v>
      </c>
      <c r="D117" t="s">
        <v>128</v>
      </c>
      <c r="E117" t="s">
        <v>152</v>
      </c>
      <c r="F117" s="4"/>
      <c r="G117" s="7">
        <v>122909110</v>
      </c>
      <c r="H117" s="7">
        <v>122219852</v>
      </c>
      <c r="I117" s="8"/>
      <c r="J117" s="7">
        <v>37052374</v>
      </c>
      <c r="K117" s="7">
        <v>79220049</v>
      </c>
      <c r="L117" s="7">
        <v>5947429</v>
      </c>
      <c r="M117" s="7">
        <v>85167478</v>
      </c>
      <c r="N117" s="8"/>
      <c r="O117" s="7">
        <f t="shared" si="1"/>
        <v>35772032</v>
      </c>
      <c r="P117" s="7">
        <v>79633783</v>
      </c>
      <c r="Q117" s="7">
        <v>6814037</v>
      </c>
      <c r="R117" s="7">
        <v>86447820</v>
      </c>
      <c r="S117" s="9">
        <v>1.0475728607493323E-2</v>
      </c>
      <c r="T117" s="10"/>
    </row>
    <row r="118" spans="1:20" customFormat="1">
      <c r="A118" s="12" t="s">
        <v>109</v>
      </c>
      <c r="B118" t="s">
        <v>813</v>
      </c>
      <c r="C118" t="s">
        <v>155</v>
      </c>
      <c r="D118" t="s">
        <v>128</v>
      </c>
      <c r="E118" t="s">
        <v>151</v>
      </c>
      <c r="F118" s="4"/>
      <c r="G118" s="7">
        <v>14202060</v>
      </c>
      <c r="H118" s="7">
        <v>13772788</v>
      </c>
      <c r="I118" s="8"/>
      <c r="J118" s="7">
        <v>3539575</v>
      </c>
      <c r="K118" s="7">
        <v>9537167</v>
      </c>
      <c r="L118" s="7">
        <v>696046</v>
      </c>
      <c r="M118" s="7">
        <v>10233213</v>
      </c>
      <c r="N118" s="8"/>
      <c r="O118" s="7">
        <f t="shared" si="1"/>
        <v>3379245</v>
      </c>
      <c r="P118" s="7">
        <v>9587241</v>
      </c>
      <c r="Q118" s="7">
        <v>806302</v>
      </c>
      <c r="R118" s="7">
        <v>10393543</v>
      </c>
      <c r="S118" s="9">
        <v>1.164107078392552E-2</v>
      </c>
      <c r="T118" s="10"/>
    </row>
    <row r="119" spans="1:20" customFormat="1">
      <c r="A119" s="12" t="s">
        <v>113</v>
      </c>
      <c r="B119" t="s">
        <v>818</v>
      </c>
      <c r="C119" t="s">
        <v>155</v>
      </c>
      <c r="D119" t="s">
        <v>128</v>
      </c>
      <c r="E119" t="s">
        <v>151</v>
      </c>
      <c r="F119" s="4"/>
      <c r="G119" s="7">
        <v>16034368</v>
      </c>
      <c r="H119" s="7">
        <v>15661232</v>
      </c>
      <c r="I119" s="8"/>
      <c r="J119" s="7">
        <v>3467031</v>
      </c>
      <c r="K119" s="7">
        <v>11346701</v>
      </c>
      <c r="L119" s="7">
        <v>847500</v>
      </c>
      <c r="M119" s="7">
        <v>12194201</v>
      </c>
      <c r="N119" s="8"/>
      <c r="O119" s="7">
        <f t="shared" si="1"/>
        <v>3289047</v>
      </c>
      <c r="P119" s="7">
        <v>11402656</v>
      </c>
      <c r="Q119" s="7">
        <v>969529</v>
      </c>
      <c r="R119" s="7">
        <v>12372185</v>
      </c>
      <c r="S119" s="9">
        <v>1.1364623166300072E-2</v>
      </c>
      <c r="T119" s="10"/>
    </row>
    <row r="120" spans="1:20" customFormat="1">
      <c r="A120" s="12" t="s">
        <v>352</v>
      </c>
      <c r="B120" t="s">
        <v>826</v>
      </c>
      <c r="C120" t="s">
        <v>123</v>
      </c>
      <c r="D120" t="s">
        <v>128</v>
      </c>
      <c r="E120" t="s">
        <v>152</v>
      </c>
      <c r="F120" s="4"/>
      <c r="G120" s="7">
        <v>16354664</v>
      </c>
      <c r="H120" s="7">
        <v>16056575</v>
      </c>
      <c r="I120" s="8"/>
      <c r="J120" s="7">
        <v>3987886</v>
      </c>
      <c r="K120" s="7">
        <v>11228231</v>
      </c>
      <c r="L120" s="7">
        <v>840458</v>
      </c>
      <c r="M120" s="7">
        <v>12068689</v>
      </c>
      <c r="N120" s="8"/>
      <c r="O120" s="7">
        <f t="shared" si="1"/>
        <v>3794575</v>
      </c>
      <c r="P120" s="7">
        <v>11291897</v>
      </c>
      <c r="Q120" s="7">
        <v>970103</v>
      </c>
      <c r="R120" s="7">
        <v>12262000</v>
      </c>
      <c r="S120" s="9">
        <v>1.2039367050569627E-2</v>
      </c>
      <c r="T120" s="10"/>
    </row>
    <row r="121" spans="1:20" customFormat="1">
      <c r="A121" s="12" t="s">
        <v>270</v>
      </c>
      <c r="B121" t="s">
        <v>829</v>
      </c>
      <c r="C121" t="s">
        <v>158</v>
      </c>
      <c r="D121" t="s">
        <v>128</v>
      </c>
      <c r="E121" t="s">
        <v>152</v>
      </c>
      <c r="F121" s="4"/>
      <c r="G121" s="7">
        <v>21097802</v>
      </c>
      <c r="H121" s="7">
        <v>20802100</v>
      </c>
      <c r="I121" s="8"/>
      <c r="J121" s="7">
        <v>5607837</v>
      </c>
      <c r="K121" s="7">
        <v>14112051</v>
      </c>
      <c r="L121" s="7">
        <v>1082212</v>
      </c>
      <c r="M121" s="7">
        <v>15194263</v>
      </c>
      <c r="N121" s="8"/>
      <c r="O121" s="7">
        <f t="shared" si="1"/>
        <v>5373018</v>
      </c>
      <c r="P121" s="7">
        <v>14187550</v>
      </c>
      <c r="Q121" s="7">
        <v>1241532</v>
      </c>
      <c r="R121" s="7">
        <v>15429082</v>
      </c>
      <c r="S121" s="9">
        <v>1.1288235322395335E-2</v>
      </c>
      <c r="T121" s="10"/>
    </row>
    <row r="122" spans="1:20" customFormat="1">
      <c r="A122" s="12" t="s">
        <v>48</v>
      </c>
      <c r="B122" t="s">
        <v>842</v>
      </c>
      <c r="C122" t="s">
        <v>158</v>
      </c>
      <c r="D122" t="s">
        <v>126</v>
      </c>
      <c r="E122" t="s">
        <v>151</v>
      </c>
      <c r="F122" s="4"/>
      <c r="G122" s="7">
        <v>15715192</v>
      </c>
      <c r="H122" s="7">
        <v>15592474</v>
      </c>
      <c r="I122" s="8"/>
      <c r="J122" s="7">
        <v>4749793</v>
      </c>
      <c r="K122" s="7">
        <v>10022363</v>
      </c>
      <c r="L122" s="7">
        <v>820318</v>
      </c>
      <c r="M122" s="7">
        <v>10842681</v>
      </c>
      <c r="N122" s="8"/>
      <c r="O122" s="7">
        <f t="shared" si="1"/>
        <v>4593447</v>
      </c>
      <c r="P122" s="7">
        <v>10071448</v>
      </c>
      <c r="Q122" s="7">
        <v>927579</v>
      </c>
      <c r="R122" s="7">
        <v>10999027</v>
      </c>
      <c r="S122" s="9">
        <v>1.0027016880066627E-2</v>
      </c>
      <c r="T122" s="10"/>
    </row>
    <row r="123" spans="1:20" customFormat="1">
      <c r="A123" s="12" t="s">
        <v>348</v>
      </c>
      <c r="B123" t="s">
        <v>843</v>
      </c>
      <c r="C123" t="s">
        <v>123</v>
      </c>
      <c r="D123" t="s">
        <v>128</v>
      </c>
      <c r="E123" t="s">
        <v>152</v>
      </c>
      <c r="F123" s="4"/>
      <c r="G123" s="7">
        <v>19073796</v>
      </c>
      <c r="H123" s="7">
        <v>19010853</v>
      </c>
      <c r="I123" s="8"/>
      <c r="J123" s="7">
        <v>4688134</v>
      </c>
      <c r="K123" s="7">
        <v>13292932</v>
      </c>
      <c r="L123" s="7">
        <v>1029787</v>
      </c>
      <c r="M123" s="7">
        <v>14322719</v>
      </c>
      <c r="N123" s="8"/>
      <c r="O123" s="7">
        <f t="shared" si="1"/>
        <v>4460141</v>
      </c>
      <c r="P123" s="7">
        <v>13366545</v>
      </c>
      <c r="Q123" s="7">
        <v>1184167</v>
      </c>
      <c r="R123" s="7">
        <v>14550712</v>
      </c>
      <c r="S123" s="9">
        <v>1.1992781176099778E-2</v>
      </c>
      <c r="T123" s="10"/>
    </row>
    <row r="124" spans="1:20" customFormat="1">
      <c r="A124" s="12" t="s">
        <v>473</v>
      </c>
      <c r="B124" t="s">
        <v>862</v>
      </c>
      <c r="C124" t="s">
        <v>157</v>
      </c>
      <c r="D124" t="s">
        <v>128</v>
      </c>
      <c r="E124" t="s">
        <v>152</v>
      </c>
      <c r="F124" s="4"/>
      <c r="G124" s="7">
        <v>19448170</v>
      </c>
      <c r="H124" s="7">
        <v>19139635</v>
      </c>
      <c r="I124" s="8"/>
      <c r="J124" s="7">
        <v>4340868</v>
      </c>
      <c r="K124" s="7">
        <v>13705750</v>
      </c>
      <c r="L124" s="7">
        <v>1093017</v>
      </c>
      <c r="M124" s="7">
        <v>14798767</v>
      </c>
      <c r="N124" s="8"/>
      <c r="O124" s="7">
        <f t="shared" si="1"/>
        <v>4112612</v>
      </c>
      <c r="P124" s="7">
        <v>13781750</v>
      </c>
      <c r="Q124" s="7">
        <v>1245273</v>
      </c>
      <c r="R124" s="7">
        <v>15027023</v>
      </c>
      <c r="S124" s="9">
        <v>1.1925828261615229E-2</v>
      </c>
      <c r="T124" s="10"/>
    </row>
    <row r="125" spans="1:20" customFormat="1">
      <c r="A125" s="12" t="s">
        <v>56</v>
      </c>
      <c r="B125" t="s">
        <v>866</v>
      </c>
      <c r="C125" t="s">
        <v>158</v>
      </c>
      <c r="D125" t="s">
        <v>126</v>
      </c>
      <c r="E125" t="s">
        <v>151</v>
      </c>
      <c r="F125" s="4"/>
      <c r="G125" s="7">
        <v>16312280</v>
      </c>
      <c r="H125" s="7">
        <v>15994209</v>
      </c>
      <c r="I125" s="8"/>
      <c r="J125" s="7">
        <v>3907306</v>
      </c>
      <c r="K125" s="7">
        <v>11268937</v>
      </c>
      <c r="L125" s="7">
        <v>817966</v>
      </c>
      <c r="M125" s="7">
        <v>12086903</v>
      </c>
      <c r="N125" s="8"/>
      <c r="O125" s="7">
        <f t="shared" si="1"/>
        <v>3709599</v>
      </c>
      <c r="P125" s="7">
        <v>11336163</v>
      </c>
      <c r="Q125" s="7">
        <v>948447</v>
      </c>
      <c r="R125" s="7">
        <v>12284610</v>
      </c>
      <c r="S125" s="9">
        <v>1.236116146787878E-2</v>
      </c>
      <c r="T125" s="10"/>
    </row>
    <row r="126" spans="1:20" customFormat="1">
      <c r="A126" s="12" t="s">
        <v>296</v>
      </c>
      <c r="B126" t="s">
        <v>867</v>
      </c>
      <c r="C126" t="s">
        <v>122</v>
      </c>
      <c r="D126" t="s">
        <v>126</v>
      </c>
      <c r="E126" t="s">
        <v>151</v>
      </c>
      <c r="F126" s="4"/>
      <c r="G126" s="7">
        <v>14844966</v>
      </c>
      <c r="H126" s="7">
        <v>14793503</v>
      </c>
      <c r="I126" s="8"/>
      <c r="J126" s="7">
        <v>3396714</v>
      </c>
      <c r="K126" s="7">
        <v>10607072</v>
      </c>
      <c r="L126" s="7">
        <v>789717</v>
      </c>
      <c r="M126" s="7">
        <v>11396789</v>
      </c>
      <c r="N126" s="8"/>
      <c r="O126" s="7">
        <f t="shared" si="1"/>
        <v>3222238</v>
      </c>
      <c r="P126" s="7">
        <v>10665766</v>
      </c>
      <c r="Q126" s="7">
        <v>905499</v>
      </c>
      <c r="R126" s="7">
        <v>11571265</v>
      </c>
      <c r="S126" s="9">
        <v>1.1794096367844722E-2</v>
      </c>
      <c r="T126" s="10"/>
    </row>
    <row r="127" spans="1:20" customFormat="1">
      <c r="A127" s="12" t="s">
        <v>10</v>
      </c>
      <c r="B127" t="s">
        <v>869</v>
      </c>
      <c r="C127" t="s">
        <v>157</v>
      </c>
      <c r="D127" t="s">
        <v>128</v>
      </c>
      <c r="E127" t="s">
        <v>152</v>
      </c>
      <c r="F127" s="4"/>
      <c r="G127" s="7">
        <v>16401656</v>
      </c>
      <c r="H127" s="7">
        <v>16120360</v>
      </c>
      <c r="I127" s="8"/>
      <c r="J127" s="7">
        <v>3941555</v>
      </c>
      <c r="K127" s="7">
        <v>11292566</v>
      </c>
      <c r="L127" s="7">
        <v>886239</v>
      </c>
      <c r="M127" s="7">
        <v>12178805</v>
      </c>
      <c r="N127" s="8"/>
      <c r="O127" s="7">
        <f t="shared" si="1"/>
        <v>3747664</v>
      </c>
      <c r="P127" s="7">
        <v>11355031</v>
      </c>
      <c r="Q127" s="7">
        <v>1017665</v>
      </c>
      <c r="R127" s="7">
        <v>12372696</v>
      </c>
      <c r="S127" s="9">
        <v>1.2027709058606631E-2</v>
      </c>
      <c r="T127" s="10"/>
    </row>
    <row r="128" spans="1:20" customFormat="1">
      <c r="A128" s="12" t="s">
        <v>57</v>
      </c>
      <c r="B128" t="s">
        <v>870</v>
      </c>
      <c r="C128" t="s">
        <v>158</v>
      </c>
      <c r="D128" t="s">
        <v>126</v>
      </c>
      <c r="E128" t="s">
        <v>151</v>
      </c>
      <c r="F128" s="4"/>
      <c r="G128" s="7">
        <v>12956560</v>
      </c>
      <c r="H128" s="7">
        <v>12722995</v>
      </c>
      <c r="I128" s="8"/>
      <c r="J128" s="7">
        <v>3433956</v>
      </c>
      <c r="K128" s="7">
        <v>8639648</v>
      </c>
      <c r="L128" s="7">
        <v>649391</v>
      </c>
      <c r="M128" s="7">
        <v>9289039</v>
      </c>
      <c r="N128" s="8"/>
      <c r="O128" s="7">
        <f t="shared" si="1"/>
        <v>3285138</v>
      </c>
      <c r="P128" s="7">
        <v>8688966</v>
      </c>
      <c r="Q128" s="7">
        <v>748891</v>
      </c>
      <c r="R128" s="7">
        <v>9437857</v>
      </c>
      <c r="S128" s="9">
        <v>1.1696774226508774E-2</v>
      </c>
      <c r="T128" s="10"/>
    </row>
    <row r="129" spans="1:20" customFormat="1">
      <c r="A129" s="12" t="s">
        <v>238</v>
      </c>
      <c r="B129" t="s">
        <v>871</v>
      </c>
      <c r="C129" t="s">
        <v>158</v>
      </c>
      <c r="D129" t="s">
        <v>126</v>
      </c>
      <c r="E129" t="s">
        <v>152</v>
      </c>
      <c r="F129" s="4"/>
      <c r="G129" s="7">
        <v>19623090</v>
      </c>
      <c r="H129" s="7">
        <v>19536670</v>
      </c>
      <c r="I129" s="8"/>
      <c r="J129" s="7">
        <v>4853264</v>
      </c>
      <c r="K129" s="7">
        <v>13633894</v>
      </c>
      <c r="L129" s="7">
        <v>1049512</v>
      </c>
      <c r="M129" s="7">
        <v>14683406</v>
      </c>
      <c r="N129" s="8"/>
      <c r="O129" s="7">
        <f t="shared" si="1"/>
        <v>4635656</v>
      </c>
      <c r="P129" s="7">
        <v>13702793</v>
      </c>
      <c r="Q129" s="7">
        <v>1198221</v>
      </c>
      <c r="R129" s="7">
        <v>14901014</v>
      </c>
      <c r="S129" s="9">
        <v>1.1138438638724E-2</v>
      </c>
      <c r="T129" s="10"/>
    </row>
    <row r="130" spans="1:20" customFormat="1">
      <c r="A130" s="12" t="s">
        <v>43</v>
      </c>
      <c r="B130" t="s">
        <v>873</v>
      </c>
      <c r="C130" t="s">
        <v>158</v>
      </c>
      <c r="D130" t="s">
        <v>126</v>
      </c>
      <c r="E130" t="s">
        <v>152</v>
      </c>
      <c r="F130" s="4"/>
      <c r="G130" s="7">
        <v>21187400</v>
      </c>
      <c r="H130" s="7">
        <v>21008975</v>
      </c>
      <c r="I130" s="8"/>
      <c r="J130" s="7">
        <v>5728356</v>
      </c>
      <c r="K130" s="7">
        <v>14187828</v>
      </c>
      <c r="L130" s="7">
        <v>1092791</v>
      </c>
      <c r="M130" s="7">
        <v>15280619</v>
      </c>
      <c r="N130" s="8"/>
      <c r="O130" s="7">
        <f t="shared" si="1"/>
        <v>5488068</v>
      </c>
      <c r="P130" s="7">
        <v>14265745</v>
      </c>
      <c r="Q130" s="7">
        <v>1255162</v>
      </c>
      <c r="R130" s="7">
        <v>15520907</v>
      </c>
      <c r="S130" s="9">
        <v>1.143739758841162E-2</v>
      </c>
      <c r="T130" s="10"/>
    </row>
    <row r="131" spans="1:20" customFormat="1">
      <c r="A131" s="12" t="s">
        <v>229</v>
      </c>
      <c r="B131" t="s">
        <v>874</v>
      </c>
      <c r="C131" t="s">
        <v>158</v>
      </c>
      <c r="D131" t="s">
        <v>126</v>
      </c>
      <c r="E131" t="s">
        <v>152</v>
      </c>
      <c r="F131" s="4"/>
      <c r="G131" s="7">
        <v>17162528</v>
      </c>
      <c r="H131" s="7">
        <v>17085786</v>
      </c>
      <c r="I131" s="8"/>
      <c r="J131" s="7">
        <v>3932224</v>
      </c>
      <c r="K131" s="7">
        <v>12286745</v>
      </c>
      <c r="L131" s="7">
        <v>866817</v>
      </c>
      <c r="M131" s="7">
        <v>13153562</v>
      </c>
      <c r="N131" s="8"/>
      <c r="O131" s="7">
        <f t="shared" si="1"/>
        <v>3728051</v>
      </c>
      <c r="P131" s="7">
        <v>12346680</v>
      </c>
      <c r="Q131" s="7">
        <v>1011055</v>
      </c>
      <c r="R131" s="7">
        <v>13357735</v>
      </c>
      <c r="S131" s="9">
        <v>1.1949874591663504E-2</v>
      </c>
      <c r="T131" s="10"/>
    </row>
    <row r="132" spans="1:20" customFormat="1">
      <c r="A132" s="12" t="s">
        <v>436</v>
      </c>
      <c r="B132" t="s">
        <v>875</v>
      </c>
      <c r="C132" t="s">
        <v>156</v>
      </c>
      <c r="D132" t="s">
        <v>128</v>
      </c>
      <c r="E132" t="s">
        <v>152</v>
      </c>
      <c r="F132" s="4"/>
      <c r="G132" s="7">
        <v>26155852</v>
      </c>
      <c r="H132" s="7">
        <v>25668607</v>
      </c>
      <c r="I132" s="8"/>
      <c r="J132" s="7">
        <v>5572001</v>
      </c>
      <c r="K132" s="7">
        <v>18722031</v>
      </c>
      <c r="L132" s="7">
        <v>1374575</v>
      </c>
      <c r="M132" s="7">
        <v>20096606</v>
      </c>
      <c r="N132" s="8"/>
      <c r="O132" s="7">
        <f t="shared" ref="O132:O195" si="2">H132-R132</f>
        <v>5257738</v>
      </c>
      <c r="P132" s="7">
        <v>18822706</v>
      </c>
      <c r="Q132" s="7">
        <v>1588163</v>
      </c>
      <c r="R132" s="7">
        <v>20410869</v>
      </c>
      <c r="S132" s="9">
        <v>1.2243087441402643E-2</v>
      </c>
      <c r="T132" s="10"/>
    </row>
    <row r="133" spans="1:20" customFormat="1">
      <c r="A133" s="12" t="s">
        <v>50</v>
      </c>
      <c r="B133" t="s">
        <v>876</v>
      </c>
      <c r="C133" t="s">
        <v>158</v>
      </c>
      <c r="D133" t="s">
        <v>126</v>
      </c>
      <c r="E133" t="s">
        <v>152</v>
      </c>
      <c r="F133" s="4"/>
      <c r="G133" s="7">
        <v>18135112</v>
      </c>
      <c r="H133" s="7">
        <v>17954165</v>
      </c>
      <c r="I133" s="8"/>
      <c r="J133" s="7">
        <v>4953536</v>
      </c>
      <c r="K133" s="7">
        <v>12068105</v>
      </c>
      <c r="L133" s="7">
        <v>932524</v>
      </c>
      <c r="M133" s="7">
        <v>13000629</v>
      </c>
      <c r="N133" s="8"/>
      <c r="O133" s="7">
        <f t="shared" si="2"/>
        <v>4757326</v>
      </c>
      <c r="P133" s="7">
        <v>12128633</v>
      </c>
      <c r="Q133" s="7">
        <v>1068206</v>
      </c>
      <c r="R133" s="7">
        <v>13196839</v>
      </c>
      <c r="S133" s="9">
        <v>1.0928383469796563E-2</v>
      </c>
      <c r="T133" s="10"/>
    </row>
    <row r="134" spans="1:20" customFormat="1">
      <c r="A134" s="12" t="s">
        <v>325</v>
      </c>
      <c r="B134" t="s">
        <v>877</v>
      </c>
      <c r="C134" t="s">
        <v>123</v>
      </c>
      <c r="D134" t="s">
        <v>128</v>
      </c>
      <c r="E134" t="s">
        <v>152</v>
      </c>
      <c r="F134" s="4"/>
      <c r="G134" s="7">
        <v>18738772</v>
      </c>
      <c r="H134" s="7">
        <v>18711736</v>
      </c>
      <c r="I134" s="8"/>
      <c r="J134" s="7">
        <v>5595669</v>
      </c>
      <c r="K134" s="7">
        <v>12117090</v>
      </c>
      <c r="L134" s="7">
        <v>998977</v>
      </c>
      <c r="M134" s="7">
        <v>13116067</v>
      </c>
      <c r="N134" s="8"/>
      <c r="O134" s="7">
        <f t="shared" si="2"/>
        <v>5384461</v>
      </c>
      <c r="P134" s="7">
        <v>12191823</v>
      </c>
      <c r="Q134" s="7">
        <v>1135452</v>
      </c>
      <c r="R134" s="7">
        <v>13327275</v>
      </c>
      <c r="S134" s="9">
        <v>1.1287461516130838E-2</v>
      </c>
      <c r="T134" s="10"/>
    </row>
    <row r="135" spans="1:20" customFormat="1">
      <c r="A135" s="12" t="s">
        <v>276</v>
      </c>
      <c r="B135" t="s">
        <v>879</v>
      </c>
      <c r="C135" t="s">
        <v>122</v>
      </c>
      <c r="D135" t="s">
        <v>128</v>
      </c>
      <c r="E135" t="s">
        <v>152</v>
      </c>
      <c r="F135" s="4"/>
      <c r="G135" s="7">
        <v>23862044</v>
      </c>
      <c r="H135" s="7">
        <v>23765440</v>
      </c>
      <c r="I135" s="8"/>
      <c r="J135" s="7">
        <v>5546910</v>
      </c>
      <c r="K135" s="7">
        <v>16967868</v>
      </c>
      <c r="L135" s="7">
        <v>1250662</v>
      </c>
      <c r="M135" s="7">
        <v>18218530</v>
      </c>
      <c r="N135" s="8"/>
      <c r="O135" s="7">
        <f t="shared" si="2"/>
        <v>5249178</v>
      </c>
      <c r="P135" s="7">
        <v>17061657</v>
      </c>
      <c r="Q135" s="7">
        <v>1454605</v>
      </c>
      <c r="R135" s="7">
        <v>18516262</v>
      </c>
      <c r="S135" s="9">
        <v>1.2527939730970687E-2</v>
      </c>
      <c r="T135" s="10"/>
    </row>
    <row r="136" spans="1:20" customFormat="1">
      <c r="A136" s="12" t="s">
        <v>102</v>
      </c>
      <c r="B136" t="s">
        <v>880</v>
      </c>
      <c r="C136" t="s">
        <v>155</v>
      </c>
      <c r="D136" t="s">
        <v>128</v>
      </c>
      <c r="E136" t="s">
        <v>152</v>
      </c>
      <c r="F136" s="4"/>
      <c r="G136" s="7">
        <v>26447194</v>
      </c>
      <c r="H136" s="7">
        <v>25294625</v>
      </c>
      <c r="I136" s="8"/>
      <c r="J136" s="7">
        <v>6304327</v>
      </c>
      <c r="K136" s="7">
        <v>17605413</v>
      </c>
      <c r="L136" s="7">
        <v>1384885</v>
      </c>
      <c r="M136" s="7">
        <v>18990298</v>
      </c>
      <c r="N136" s="8"/>
      <c r="O136" s="7">
        <f t="shared" si="2"/>
        <v>6006617</v>
      </c>
      <c r="P136" s="7">
        <v>17702389</v>
      </c>
      <c r="Q136" s="7">
        <v>1585619</v>
      </c>
      <c r="R136" s="7">
        <v>19288008</v>
      </c>
      <c r="S136" s="9">
        <v>1.1769694154390508E-2</v>
      </c>
      <c r="T136" s="10"/>
    </row>
    <row r="137" spans="1:20" customFormat="1">
      <c r="A137" s="12" t="s">
        <v>226</v>
      </c>
      <c r="B137" t="s">
        <v>881</v>
      </c>
      <c r="C137" t="s">
        <v>123</v>
      </c>
      <c r="D137" t="s">
        <v>128</v>
      </c>
      <c r="E137" t="s">
        <v>152</v>
      </c>
      <c r="F137" s="4"/>
      <c r="G137" s="7">
        <v>25878658</v>
      </c>
      <c r="H137" s="7">
        <v>25771968</v>
      </c>
      <c r="I137" s="8"/>
      <c r="J137" s="7">
        <v>5955374</v>
      </c>
      <c r="K137" s="7">
        <v>18388533</v>
      </c>
      <c r="L137" s="7">
        <v>1428061</v>
      </c>
      <c r="M137" s="7">
        <v>19816594</v>
      </c>
      <c r="N137" s="8"/>
      <c r="O137" s="7">
        <f t="shared" si="2"/>
        <v>5656269</v>
      </c>
      <c r="P137" s="7">
        <v>18477628</v>
      </c>
      <c r="Q137" s="7">
        <v>1638071</v>
      </c>
      <c r="R137" s="7">
        <v>20115699</v>
      </c>
      <c r="S137" s="9">
        <v>1.1605826920163799E-2</v>
      </c>
      <c r="T137" s="10"/>
    </row>
    <row r="138" spans="1:20" customFormat="1">
      <c r="A138" s="12" t="s">
        <v>423</v>
      </c>
      <c r="B138" t="s">
        <v>882</v>
      </c>
      <c r="C138" t="s">
        <v>156</v>
      </c>
      <c r="D138" t="s">
        <v>128</v>
      </c>
      <c r="E138" t="s">
        <v>152</v>
      </c>
      <c r="F138" s="4"/>
      <c r="G138" s="7">
        <v>21452024</v>
      </c>
      <c r="H138" s="7">
        <v>21099977</v>
      </c>
      <c r="I138" s="8"/>
      <c r="J138" s="7">
        <v>4504842</v>
      </c>
      <c r="K138" s="7">
        <v>15407100</v>
      </c>
      <c r="L138" s="7">
        <v>1188035</v>
      </c>
      <c r="M138" s="7">
        <v>16595135</v>
      </c>
      <c r="N138" s="8"/>
      <c r="O138" s="7">
        <f t="shared" si="2"/>
        <v>4253320</v>
      </c>
      <c r="P138" s="7">
        <v>15490288</v>
      </c>
      <c r="Q138" s="7">
        <v>1356369</v>
      </c>
      <c r="R138" s="7">
        <v>16846657</v>
      </c>
      <c r="S138" s="9">
        <v>1.1920486927544991E-2</v>
      </c>
      <c r="T138" s="10"/>
    </row>
    <row r="139" spans="1:20" customFormat="1">
      <c r="A139" s="12" t="s">
        <v>54</v>
      </c>
      <c r="B139" t="s">
        <v>947</v>
      </c>
      <c r="C139" t="s">
        <v>158</v>
      </c>
      <c r="D139" t="s">
        <v>128</v>
      </c>
      <c r="E139" t="s">
        <v>152</v>
      </c>
      <c r="F139" s="4"/>
      <c r="G139" s="7">
        <v>19310090</v>
      </c>
      <c r="H139" s="7">
        <v>18907459</v>
      </c>
      <c r="I139" s="8"/>
      <c r="J139" s="7">
        <v>5141354</v>
      </c>
      <c r="K139" s="7">
        <v>12880356</v>
      </c>
      <c r="L139" s="7">
        <v>885749</v>
      </c>
      <c r="M139" s="7">
        <v>13766105</v>
      </c>
      <c r="N139" s="8"/>
      <c r="O139" s="7">
        <f t="shared" si="2"/>
        <v>4917463</v>
      </c>
      <c r="P139" s="7">
        <v>12957794</v>
      </c>
      <c r="Q139" s="7">
        <v>1032202</v>
      </c>
      <c r="R139" s="7">
        <v>13989996</v>
      </c>
      <c r="S139" s="9">
        <v>1.1841411371036161E-2</v>
      </c>
      <c r="T139" s="10"/>
    </row>
    <row r="140" spans="1:20" customFormat="1">
      <c r="A140" s="12" t="s">
        <v>317</v>
      </c>
      <c r="B140" t="s">
        <v>948</v>
      </c>
      <c r="C140" t="s">
        <v>122</v>
      </c>
      <c r="D140" t="s">
        <v>128</v>
      </c>
      <c r="E140" t="s">
        <v>152</v>
      </c>
      <c r="F140" s="4"/>
      <c r="G140" s="7">
        <v>54405164</v>
      </c>
      <c r="H140" s="7">
        <v>53347691</v>
      </c>
      <c r="I140" s="8"/>
      <c r="J140" s="7">
        <v>15242540</v>
      </c>
      <c r="K140" s="7">
        <v>35279147</v>
      </c>
      <c r="L140" s="7">
        <v>2826004</v>
      </c>
      <c r="M140" s="7">
        <v>38105151</v>
      </c>
      <c r="N140" s="8"/>
      <c r="O140" s="7">
        <f t="shared" si="2"/>
        <v>14651605</v>
      </c>
      <c r="P140" s="7">
        <v>35461960</v>
      </c>
      <c r="Q140" s="7">
        <v>3234126</v>
      </c>
      <c r="R140" s="7">
        <v>38696086</v>
      </c>
      <c r="S140" s="9">
        <v>1.1077049239113273E-2</v>
      </c>
      <c r="T140" s="10"/>
    </row>
    <row r="141" spans="1:20" customFormat="1">
      <c r="A141" s="12" t="s">
        <v>442</v>
      </c>
      <c r="C141" t="s">
        <v>156</v>
      </c>
      <c r="D141" t="s">
        <v>128</v>
      </c>
      <c r="E141" t="s">
        <v>152</v>
      </c>
      <c r="F141" s="4"/>
      <c r="G141" s="7">
        <v>20040578</v>
      </c>
      <c r="H141" s="7">
        <v>19946522</v>
      </c>
      <c r="I141" s="8"/>
      <c r="J141" s="7">
        <v>4511717</v>
      </c>
      <c r="K141" s="7">
        <v>14373605</v>
      </c>
      <c r="L141" s="7">
        <v>1061200</v>
      </c>
      <c r="M141" s="7">
        <v>15434805</v>
      </c>
      <c r="N141" s="8"/>
      <c r="O141" s="7">
        <f t="shared" si="2"/>
        <v>4264356</v>
      </c>
      <c r="P141" s="7">
        <v>14458652</v>
      </c>
      <c r="Q141" s="7">
        <v>1223514</v>
      </c>
      <c r="R141" s="7">
        <v>15682166</v>
      </c>
      <c r="S141" s="9">
        <v>1.240120959433429E-2</v>
      </c>
      <c r="T141" s="10"/>
    </row>
    <row r="142" spans="1:20" customFormat="1">
      <c r="A142" s="12" t="s">
        <v>440</v>
      </c>
      <c r="B142" t="s">
        <v>949</v>
      </c>
      <c r="C142" t="s">
        <v>156</v>
      </c>
      <c r="D142" t="s">
        <v>128</v>
      </c>
      <c r="E142" t="s">
        <v>152</v>
      </c>
      <c r="F142" s="4"/>
      <c r="G142" s="7">
        <v>58012122</v>
      </c>
      <c r="H142" s="7">
        <v>56109481</v>
      </c>
      <c r="I142" s="8"/>
      <c r="J142" s="7">
        <v>12446940</v>
      </c>
      <c r="K142" s="7">
        <v>40666952</v>
      </c>
      <c r="L142" s="7">
        <v>2995589</v>
      </c>
      <c r="M142" s="7">
        <v>43662541</v>
      </c>
      <c r="N142" s="8"/>
      <c r="O142" s="7">
        <f t="shared" si="2"/>
        <v>11721531</v>
      </c>
      <c r="P142" s="7">
        <v>40919300</v>
      </c>
      <c r="Q142" s="7">
        <v>3468650</v>
      </c>
      <c r="R142" s="7">
        <v>44387950</v>
      </c>
      <c r="S142" s="9">
        <v>1.292845677898892E-2</v>
      </c>
      <c r="T142" s="10"/>
    </row>
    <row r="143" spans="1:20" customFormat="1">
      <c r="A143" s="12" t="s">
        <v>9</v>
      </c>
      <c r="C143" t="s">
        <v>157</v>
      </c>
      <c r="D143" t="s">
        <v>128</v>
      </c>
      <c r="E143" t="s">
        <v>152</v>
      </c>
      <c r="F143" s="4"/>
      <c r="G143" s="7">
        <v>21532304</v>
      </c>
      <c r="H143" s="7">
        <v>21463884</v>
      </c>
      <c r="I143" s="8"/>
      <c r="J143" s="7">
        <v>5492705</v>
      </c>
      <c r="K143" s="7">
        <v>14876949</v>
      </c>
      <c r="L143" s="7">
        <v>1094230</v>
      </c>
      <c r="M143" s="7">
        <v>15971179</v>
      </c>
      <c r="N143" s="8"/>
      <c r="O143" s="7">
        <f t="shared" si="2"/>
        <v>5235801</v>
      </c>
      <c r="P143" s="7">
        <v>14957646</v>
      </c>
      <c r="Q143" s="7">
        <v>1270437</v>
      </c>
      <c r="R143" s="7">
        <v>16228083</v>
      </c>
      <c r="S143" s="9">
        <v>1.1969129165998101E-2</v>
      </c>
      <c r="T143" s="10"/>
    </row>
    <row r="144" spans="1:20" customFormat="1">
      <c r="A144" s="12" t="s">
        <v>420</v>
      </c>
      <c r="C144" t="s">
        <v>156</v>
      </c>
      <c r="D144" t="s">
        <v>128</v>
      </c>
      <c r="E144" t="s">
        <v>152</v>
      </c>
      <c r="F144" s="4"/>
      <c r="G144" s="7">
        <v>22576380</v>
      </c>
      <c r="H144" s="7">
        <v>22156341</v>
      </c>
      <c r="I144" s="8"/>
      <c r="J144" s="7">
        <v>4751341</v>
      </c>
      <c r="K144" s="7">
        <v>16206528</v>
      </c>
      <c r="L144" s="7">
        <v>1198472</v>
      </c>
      <c r="M144" s="7">
        <v>17405000</v>
      </c>
      <c r="N144" s="8"/>
      <c r="O144" s="7">
        <f t="shared" si="2"/>
        <v>4480475</v>
      </c>
      <c r="P144" s="7">
        <v>16297421</v>
      </c>
      <c r="Q144" s="7">
        <v>1378445</v>
      </c>
      <c r="R144" s="7">
        <v>17675866</v>
      </c>
      <c r="S144" s="9">
        <v>1.2225213540448759E-2</v>
      </c>
      <c r="T144" s="10"/>
    </row>
    <row r="145" spans="1:20" customFormat="1">
      <c r="A145" s="12" t="s">
        <v>312</v>
      </c>
      <c r="C145" t="s">
        <v>122</v>
      </c>
      <c r="D145" t="s">
        <v>128</v>
      </c>
      <c r="E145" t="s">
        <v>152</v>
      </c>
      <c r="F145" s="4"/>
      <c r="G145" s="7">
        <v>32228122</v>
      </c>
      <c r="H145" s="7">
        <v>32022065</v>
      </c>
      <c r="I145" s="8"/>
      <c r="J145" s="7">
        <v>8264162</v>
      </c>
      <c r="K145" s="7">
        <v>22116624</v>
      </c>
      <c r="L145" s="7">
        <v>1641279</v>
      </c>
      <c r="M145" s="7">
        <v>23757903</v>
      </c>
      <c r="N145" s="8"/>
      <c r="O145" s="7">
        <f t="shared" si="2"/>
        <v>7904447</v>
      </c>
      <c r="P145" s="7">
        <v>22226011</v>
      </c>
      <c r="Q145" s="7">
        <v>1891607</v>
      </c>
      <c r="R145" s="7">
        <v>24117618</v>
      </c>
      <c r="S145" s="9">
        <v>1.1233348005508077E-2</v>
      </c>
      <c r="T145" s="10"/>
    </row>
    <row r="146" spans="1:20" customFormat="1">
      <c r="A146" s="12" t="s">
        <v>335</v>
      </c>
      <c r="C146" t="s">
        <v>123</v>
      </c>
      <c r="D146" t="s">
        <v>128</v>
      </c>
      <c r="E146" t="s">
        <v>151</v>
      </c>
      <c r="F146" s="4"/>
      <c r="G146" s="7">
        <v>14241712</v>
      </c>
      <c r="H146" s="7">
        <v>14118424</v>
      </c>
      <c r="I146" s="8"/>
      <c r="J146" s="7">
        <v>3322822</v>
      </c>
      <c r="K146" s="7">
        <v>9967604</v>
      </c>
      <c r="L146" s="7">
        <v>827998</v>
      </c>
      <c r="M146" s="7">
        <v>10795602</v>
      </c>
      <c r="N146" s="8"/>
      <c r="O146" s="7">
        <f t="shared" si="2"/>
        <v>3158505</v>
      </c>
      <c r="P146" s="7">
        <v>10022143</v>
      </c>
      <c r="Q146" s="7">
        <v>937776</v>
      </c>
      <c r="R146" s="7">
        <v>10959919</v>
      </c>
      <c r="S146" s="9">
        <v>1.1638480328965896E-2</v>
      </c>
      <c r="T146" s="10"/>
    </row>
    <row r="147" spans="1:20" customFormat="1">
      <c r="A147" s="12" t="s">
        <v>435</v>
      </c>
      <c r="C147" t="s">
        <v>156</v>
      </c>
      <c r="D147" t="s">
        <v>128</v>
      </c>
      <c r="E147" t="s">
        <v>152</v>
      </c>
      <c r="F147" s="4"/>
      <c r="G147" s="7">
        <v>36432166</v>
      </c>
      <c r="H147" s="7">
        <v>35870803</v>
      </c>
      <c r="I147" s="8"/>
      <c r="J147" s="7">
        <v>8394345</v>
      </c>
      <c r="K147" s="7">
        <v>25480972</v>
      </c>
      <c r="L147" s="7">
        <v>1995486</v>
      </c>
      <c r="M147" s="7">
        <v>27476458</v>
      </c>
      <c r="N147" s="8"/>
      <c r="O147" s="7">
        <f t="shared" si="2"/>
        <v>7949431</v>
      </c>
      <c r="P147" s="7">
        <v>25643819</v>
      </c>
      <c r="Q147" s="7">
        <v>2277553</v>
      </c>
      <c r="R147" s="7">
        <v>27921372</v>
      </c>
      <c r="S147" s="9">
        <v>1.2403235020972349E-2</v>
      </c>
      <c r="T147" s="10"/>
    </row>
    <row r="148" spans="1:20" customFormat="1">
      <c r="A148" s="12" t="s">
        <v>227</v>
      </c>
      <c r="C148" t="s">
        <v>123</v>
      </c>
      <c r="D148" t="s">
        <v>128</v>
      </c>
      <c r="E148" t="s">
        <v>151</v>
      </c>
      <c r="F148" s="4"/>
      <c r="G148" s="7">
        <v>9780516</v>
      </c>
      <c r="H148" s="7">
        <v>9764585</v>
      </c>
      <c r="I148" s="8"/>
      <c r="J148" s="7">
        <v>2507520</v>
      </c>
      <c r="K148" s="7">
        <v>6714557</v>
      </c>
      <c r="L148" s="7">
        <v>542508</v>
      </c>
      <c r="M148" s="7">
        <v>7257065</v>
      </c>
      <c r="N148" s="8"/>
      <c r="O148" s="7">
        <f t="shared" si="2"/>
        <v>2394417</v>
      </c>
      <c r="P148" s="7">
        <v>6752561</v>
      </c>
      <c r="Q148" s="7">
        <v>617607</v>
      </c>
      <c r="R148" s="7">
        <v>7370168</v>
      </c>
      <c r="S148" s="9">
        <v>1.1582980741117006E-2</v>
      </c>
      <c r="T148" s="10"/>
    </row>
    <row r="149" spans="1:20" customFormat="1">
      <c r="A149" s="12" t="s">
        <v>49</v>
      </c>
      <c r="B149" t="s">
        <v>883</v>
      </c>
      <c r="C149" t="s">
        <v>158</v>
      </c>
      <c r="D149" t="s">
        <v>126</v>
      </c>
      <c r="E149" t="s">
        <v>152</v>
      </c>
      <c r="F149" s="4"/>
      <c r="G149" s="7">
        <v>20183626</v>
      </c>
      <c r="H149" s="7">
        <v>19790373</v>
      </c>
      <c r="I149" s="8"/>
      <c r="J149" s="7">
        <v>5166818</v>
      </c>
      <c r="K149" s="7">
        <v>13632007</v>
      </c>
      <c r="L149" s="7">
        <v>991548</v>
      </c>
      <c r="M149" s="7">
        <v>14623555</v>
      </c>
      <c r="N149" s="8"/>
      <c r="O149" s="7">
        <f t="shared" si="2"/>
        <v>4942772</v>
      </c>
      <c r="P149" s="7">
        <v>13706364</v>
      </c>
      <c r="Q149" s="7">
        <v>1141237</v>
      </c>
      <c r="R149" s="7">
        <v>14847601</v>
      </c>
      <c r="S149" s="9">
        <v>1.1320958932911471E-2</v>
      </c>
      <c r="T149" s="10"/>
    </row>
    <row r="150" spans="1:20" customFormat="1">
      <c r="A150" s="12" t="s">
        <v>19</v>
      </c>
      <c r="B150" t="s">
        <v>884</v>
      </c>
      <c r="C150" t="s">
        <v>157</v>
      </c>
      <c r="D150" t="s">
        <v>128</v>
      </c>
      <c r="E150" t="s">
        <v>151</v>
      </c>
      <c r="F150" s="4"/>
      <c r="G150" s="7">
        <v>16780446</v>
      </c>
      <c r="H150" s="7">
        <v>16504230</v>
      </c>
      <c r="I150" s="8"/>
      <c r="J150" s="7">
        <v>4015576</v>
      </c>
      <c r="K150" s="7">
        <v>11652335</v>
      </c>
      <c r="L150" s="7">
        <v>836319</v>
      </c>
      <c r="M150" s="7">
        <v>12488654</v>
      </c>
      <c r="N150" s="8"/>
      <c r="O150" s="7">
        <f t="shared" si="2"/>
        <v>3811245</v>
      </c>
      <c r="P150" s="7">
        <v>11720195</v>
      </c>
      <c r="Q150" s="7">
        <v>972790</v>
      </c>
      <c r="R150" s="7">
        <v>12692985</v>
      </c>
      <c r="S150" s="9">
        <v>1.2380523053786818E-2</v>
      </c>
      <c r="T150" s="10"/>
    </row>
    <row r="151" spans="1:20" customFormat="1">
      <c r="A151" s="12" t="s">
        <v>24</v>
      </c>
      <c r="B151" t="s">
        <v>906</v>
      </c>
      <c r="C151" t="s">
        <v>157</v>
      </c>
      <c r="D151" t="s">
        <v>128</v>
      </c>
      <c r="E151" t="s">
        <v>152</v>
      </c>
      <c r="F151" s="4"/>
      <c r="G151" s="7">
        <v>19676058</v>
      </c>
      <c r="H151" s="7">
        <v>19441836</v>
      </c>
      <c r="I151" s="8"/>
      <c r="J151" s="7">
        <v>4715999</v>
      </c>
      <c r="K151" s="7">
        <v>13742792</v>
      </c>
      <c r="L151" s="7">
        <v>983045</v>
      </c>
      <c r="M151" s="7">
        <v>14725837</v>
      </c>
      <c r="N151" s="8"/>
      <c r="O151" s="7">
        <f t="shared" si="2"/>
        <v>4473884</v>
      </c>
      <c r="P151" s="7">
        <v>13821853</v>
      </c>
      <c r="Q151" s="7">
        <v>1146099</v>
      </c>
      <c r="R151" s="7">
        <v>14967952</v>
      </c>
      <c r="S151" s="9">
        <v>1.2453299163720958E-2</v>
      </c>
      <c r="T151" s="10"/>
    </row>
    <row r="152" spans="1:20" customFormat="1">
      <c r="A152" s="12" t="s">
        <v>120</v>
      </c>
      <c r="B152" t="s">
        <v>907</v>
      </c>
      <c r="C152" t="s">
        <v>156</v>
      </c>
      <c r="D152" t="s">
        <v>128</v>
      </c>
      <c r="E152" t="s">
        <v>152</v>
      </c>
      <c r="F152" s="4"/>
      <c r="G152" s="7">
        <v>21694494</v>
      </c>
      <c r="H152" s="7">
        <v>21551155</v>
      </c>
      <c r="I152" s="8"/>
      <c r="J152" s="7">
        <v>4804791</v>
      </c>
      <c r="K152" s="7">
        <v>15546226</v>
      </c>
      <c r="L152" s="7">
        <v>1200138</v>
      </c>
      <c r="M152" s="7">
        <v>16746364</v>
      </c>
      <c r="N152" s="8"/>
      <c r="O152" s="7">
        <f t="shared" si="2"/>
        <v>4552471</v>
      </c>
      <c r="P152" s="7">
        <v>15630119</v>
      </c>
      <c r="Q152" s="7">
        <v>1368565</v>
      </c>
      <c r="R152" s="7">
        <v>16998684</v>
      </c>
      <c r="S152" s="9">
        <v>1.1707957183733308E-2</v>
      </c>
      <c r="T152" s="10"/>
    </row>
    <row r="153" spans="1:20" customFormat="1">
      <c r="A153" s="12" t="s">
        <v>452</v>
      </c>
      <c r="C153" t="s">
        <v>156</v>
      </c>
      <c r="D153" t="s">
        <v>128</v>
      </c>
      <c r="E153" t="s">
        <v>152</v>
      </c>
      <c r="F153" s="4"/>
      <c r="G153" s="7">
        <v>28488940</v>
      </c>
      <c r="H153" s="7">
        <v>28356051</v>
      </c>
      <c r="I153" s="8"/>
      <c r="J153" s="7">
        <v>6262087</v>
      </c>
      <c r="K153" s="7">
        <v>20537069</v>
      </c>
      <c r="L153" s="7">
        <v>1556895</v>
      </c>
      <c r="M153" s="7">
        <v>22093964</v>
      </c>
      <c r="N153" s="8"/>
      <c r="O153" s="7">
        <f t="shared" si="2"/>
        <v>5912536</v>
      </c>
      <c r="P153" s="7">
        <v>20659014</v>
      </c>
      <c r="Q153" s="7">
        <v>1784501</v>
      </c>
      <c r="R153" s="7">
        <v>22443515</v>
      </c>
      <c r="S153" s="9">
        <v>1.2327210160540338E-2</v>
      </c>
      <c r="T153" s="10"/>
    </row>
    <row r="154" spans="1:20" customFormat="1">
      <c r="A154" s="12" t="s">
        <v>417</v>
      </c>
      <c r="B154" t="s">
        <v>912</v>
      </c>
      <c r="C154" t="s">
        <v>156</v>
      </c>
      <c r="D154" t="s">
        <v>128</v>
      </c>
      <c r="E154" t="s">
        <v>152</v>
      </c>
      <c r="F154" s="4"/>
      <c r="G154" s="7">
        <v>21902840</v>
      </c>
      <c r="H154" s="7">
        <v>21803433</v>
      </c>
      <c r="I154" s="8"/>
      <c r="J154" s="7">
        <v>4831867</v>
      </c>
      <c r="K154" s="7">
        <v>15780057</v>
      </c>
      <c r="L154" s="7">
        <v>1191509</v>
      </c>
      <c r="M154" s="7">
        <v>16971566</v>
      </c>
      <c r="N154" s="8"/>
      <c r="O154" s="7">
        <f t="shared" si="2"/>
        <v>4569969</v>
      </c>
      <c r="P154" s="7">
        <v>15871030</v>
      </c>
      <c r="Q154" s="7">
        <v>1362434</v>
      </c>
      <c r="R154" s="7">
        <v>17233464</v>
      </c>
      <c r="S154" s="9">
        <v>1.201177814521227E-2</v>
      </c>
      <c r="T154" s="10"/>
    </row>
    <row r="155" spans="1:20" customFormat="1">
      <c r="A155" s="12" t="s">
        <v>336</v>
      </c>
      <c r="B155" t="s">
        <v>913</v>
      </c>
      <c r="C155" t="s">
        <v>123</v>
      </c>
      <c r="D155" t="s">
        <v>128</v>
      </c>
      <c r="E155" t="s">
        <v>152</v>
      </c>
      <c r="F155" s="4"/>
      <c r="G155" s="7">
        <v>17473424</v>
      </c>
      <c r="H155" s="7">
        <v>17071699</v>
      </c>
      <c r="I155" s="8"/>
      <c r="J155" s="7">
        <v>4039203</v>
      </c>
      <c r="K155" s="7">
        <v>12134379</v>
      </c>
      <c r="L155" s="7">
        <v>898117</v>
      </c>
      <c r="M155" s="7">
        <v>13032496</v>
      </c>
      <c r="N155" s="8"/>
      <c r="O155" s="7">
        <f t="shared" si="2"/>
        <v>3830880</v>
      </c>
      <c r="P155" s="7">
        <v>12204659</v>
      </c>
      <c r="Q155" s="7">
        <v>1036160</v>
      </c>
      <c r="R155" s="7">
        <v>13240819</v>
      </c>
      <c r="S155" s="9">
        <v>1.2202827615458777E-2</v>
      </c>
      <c r="T155" s="10"/>
    </row>
    <row r="156" spans="1:20" customFormat="1">
      <c r="A156" s="12" t="s">
        <v>6</v>
      </c>
      <c r="B156" t="s">
        <v>914</v>
      </c>
      <c r="C156" t="s">
        <v>157</v>
      </c>
      <c r="D156" t="s">
        <v>128</v>
      </c>
      <c r="E156" t="s">
        <v>152</v>
      </c>
      <c r="F156" s="4"/>
      <c r="G156" s="7">
        <v>19070126</v>
      </c>
      <c r="H156" s="7">
        <v>18758915</v>
      </c>
      <c r="I156" s="8"/>
      <c r="J156" s="7">
        <v>4764865</v>
      </c>
      <c r="K156" s="7">
        <v>12998609</v>
      </c>
      <c r="L156" s="7">
        <v>995441</v>
      </c>
      <c r="M156" s="7">
        <v>13994050</v>
      </c>
      <c r="N156" s="8"/>
      <c r="O156" s="7">
        <f t="shared" si="2"/>
        <v>4545901</v>
      </c>
      <c r="P156" s="7">
        <v>13065424</v>
      </c>
      <c r="Q156" s="7">
        <v>1147590</v>
      </c>
      <c r="R156" s="7">
        <v>14213014</v>
      </c>
      <c r="S156" s="9">
        <v>1.1672530101021301E-2</v>
      </c>
      <c r="T156" s="10"/>
    </row>
    <row r="157" spans="1:20" customFormat="1">
      <c r="A157" s="12" t="s">
        <v>20</v>
      </c>
      <c r="B157" t="s">
        <v>915</v>
      </c>
      <c r="C157" t="s">
        <v>157</v>
      </c>
      <c r="D157" t="s">
        <v>128</v>
      </c>
      <c r="E157" t="s">
        <v>151</v>
      </c>
      <c r="F157" s="4"/>
      <c r="G157" s="7">
        <v>14696452</v>
      </c>
      <c r="H157" s="7">
        <v>14466325</v>
      </c>
      <c r="I157" s="8"/>
      <c r="J157" s="7">
        <v>3456526</v>
      </c>
      <c r="K157" s="7">
        <v>10249334</v>
      </c>
      <c r="L157" s="7">
        <v>760465</v>
      </c>
      <c r="M157" s="7">
        <v>11009799</v>
      </c>
      <c r="N157" s="8"/>
      <c r="O157" s="7">
        <f t="shared" si="2"/>
        <v>3276492</v>
      </c>
      <c r="P157" s="7">
        <v>10304514</v>
      </c>
      <c r="Q157" s="7">
        <v>885319</v>
      </c>
      <c r="R157" s="7">
        <v>11189833</v>
      </c>
      <c r="S157" s="9">
        <v>1.2445040464665352E-2</v>
      </c>
      <c r="T157" s="10"/>
    </row>
    <row r="158" spans="1:20" customFormat="1">
      <c r="A158" s="12" t="s">
        <v>451</v>
      </c>
      <c r="B158" t="s">
        <v>916</v>
      </c>
      <c r="C158" t="s">
        <v>156</v>
      </c>
      <c r="D158" t="s">
        <v>128</v>
      </c>
      <c r="E158" t="s">
        <v>152</v>
      </c>
      <c r="F158" s="4"/>
      <c r="G158" s="7">
        <v>34838438</v>
      </c>
      <c r="H158" s="7">
        <v>33598956</v>
      </c>
      <c r="I158" s="8"/>
      <c r="J158" s="7">
        <v>7330594</v>
      </c>
      <c r="K158" s="7">
        <v>24514550</v>
      </c>
      <c r="L158" s="7">
        <v>1753812</v>
      </c>
      <c r="M158" s="7">
        <v>26268362</v>
      </c>
      <c r="N158" s="8"/>
      <c r="O158" s="7">
        <f t="shared" si="2"/>
        <v>6889797</v>
      </c>
      <c r="P158" s="7">
        <v>24672637</v>
      </c>
      <c r="Q158" s="7">
        <v>2036522</v>
      </c>
      <c r="R158" s="7">
        <v>26709159</v>
      </c>
      <c r="S158" s="9">
        <v>1.3119365970775997E-2</v>
      </c>
      <c r="T158" s="10"/>
    </row>
    <row r="159" spans="1:20" customFormat="1">
      <c r="A159" s="12" t="s">
        <v>449</v>
      </c>
      <c r="B159" t="s">
        <v>887</v>
      </c>
      <c r="C159" t="s">
        <v>156</v>
      </c>
      <c r="D159" t="s">
        <v>128</v>
      </c>
      <c r="E159" t="s">
        <v>152</v>
      </c>
      <c r="F159" s="4"/>
      <c r="G159" s="7">
        <v>17887614</v>
      </c>
      <c r="H159" s="7">
        <v>17549666</v>
      </c>
      <c r="I159" s="8"/>
      <c r="J159" s="7">
        <v>3964712</v>
      </c>
      <c r="K159" s="7">
        <v>12680759</v>
      </c>
      <c r="L159" s="7">
        <v>904195</v>
      </c>
      <c r="M159" s="7">
        <v>13584954</v>
      </c>
      <c r="N159" s="8"/>
      <c r="O159" s="7">
        <f t="shared" si="2"/>
        <v>3750585</v>
      </c>
      <c r="P159" s="7">
        <v>12756206</v>
      </c>
      <c r="Q159" s="7">
        <v>1042875</v>
      </c>
      <c r="R159" s="7">
        <v>13799081</v>
      </c>
      <c r="S159" s="9">
        <v>1.2201200866158935E-2</v>
      </c>
      <c r="T159" s="10"/>
    </row>
    <row r="160" spans="1:20" customFormat="1">
      <c r="A160" s="12" t="s">
        <v>299</v>
      </c>
      <c r="C160" t="s">
        <v>122</v>
      </c>
      <c r="D160" t="s">
        <v>126</v>
      </c>
      <c r="E160" t="s">
        <v>152</v>
      </c>
      <c r="F160" s="4"/>
      <c r="G160" s="7">
        <v>25661530</v>
      </c>
      <c r="H160" s="7">
        <v>25248118</v>
      </c>
      <c r="I160" s="8"/>
      <c r="J160" s="7">
        <v>7482359</v>
      </c>
      <c r="K160" s="7">
        <v>16520737</v>
      </c>
      <c r="L160" s="7">
        <v>1245022</v>
      </c>
      <c r="M160" s="7">
        <v>17765759</v>
      </c>
      <c r="N160" s="8"/>
      <c r="O160" s="7">
        <f t="shared" si="2"/>
        <v>7201792</v>
      </c>
      <c r="P160" s="7">
        <v>16608198</v>
      </c>
      <c r="Q160" s="7">
        <v>1438128</v>
      </c>
      <c r="R160" s="7">
        <v>18046326</v>
      </c>
      <c r="S160" s="9">
        <v>1.1112392614768356E-2</v>
      </c>
      <c r="T160" s="10"/>
    </row>
    <row r="161" spans="1:20" customFormat="1">
      <c r="A161" s="12" t="s">
        <v>434</v>
      </c>
      <c r="B161" t="s">
        <v>888</v>
      </c>
      <c r="C161" t="s">
        <v>156</v>
      </c>
      <c r="D161" t="s">
        <v>128</v>
      </c>
      <c r="E161" t="s">
        <v>151</v>
      </c>
      <c r="F161" s="4"/>
      <c r="G161" s="7">
        <v>9345750</v>
      </c>
      <c r="H161" s="7">
        <v>9203901</v>
      </c>
      <c r="I161" s="8"/>
      <c r="J161" s="7">
        <v>1990950</v>
      </c>
      <c r="K161" s="7">
        <v>6685118</v>
      </c>
      <c r="L161" s="7">
        <v>527833</v>
      </c>
      <c r="M161" s="7">
        <v>7212951</v>
      </c>
      <c r="N161" s="8"/>
      <c r="O161" s="7">
        <f t="shared" si="2"/>
        <v>1881202</v>
      </c>
      <c r="P161" s="7">
        <v>6723933</v>
      </c>
      <c r="Q161" s="7">
        <v>598766</v>
      </c>
      <c r="R161" s="7">
        <v>7322699</v>
      </c>
      <c r="S161" s="9">
        <v>1.1924074368031555E-2</v>
      </c>
      <c r="T161" s="10"/>
    </row>
    <row r="162" spans="1:20" customFormat="1">
      <c r="A162" s="12">
        <v>4722</v>
      </c>
      <c r="B162" t="s">
        <v>530</v>
      </c>
      <c r="C162" t="s">
        <v>158</v>
      </c>
      <c r="D162" t="s">
        <v>126</v>
      </c>
      <c r="E162" t="s">
        <v>152</v>
      </c>
      <c r="F162" s="4"/>
      <c r="G162" s="7">
        <v>19847150</v>
      </c>
      <c r="H162" s="7">
        <v>19753751</v>
      </c>
      <c r="I162" s="8"/>
      <c r="J162" s="7">
        <v>4954431</v>
      </c>
      <c r="K162" s="7">
        <v>13779759</v>
      </c>
      <c r="L162" s="7">
        <v>1019561</v>
      </c>
      <c r="M162" s="7">
        <v>14799320</v>
      </c>
      <c r="N162" s="8"/>
      <c r="O162" s="7">
        <f t="shared" si="2"/>
        <v>4725945</v>
      </c>
      <c r="P162" s="7">
        <v>13852539</v>
      </c>
      <c r="Q162" s="7">
        <v>1175267</v>
      </c>
      <c r="R162" s="7">
        <v>15027806</v>
      </c>
      <c r="S162" s="9">
        <v>1.1566714595116644E-2</v>
      </c>
      <c r="T162" s="10"/>
    </row>
    <row r="163" spans="1:20" customFormat="1">
      <c r="A163" s="12" t="s">
        <v>509</v>
      </c>
      <c r="B163" t="s">
        <v>576</v>
      </c>
      <c r="C163" t="s">
        <v>155</v>
      </c>
      <c r="D163" t="s">
        <v>128</v>
      </c>
      <c r="E163" t="s">
        <v>152</v>
      </c>
      <c r="F163" s="4"/>
      <c r="G163" s="7">
        <v>17499546</v>
      </c>
      <c r="H163" s="7">
        <v>17409802</v>
      </c>
      <c r="I163" s="8"/>
      <c r="J163" s="7">
        <v>4239985</v>
      </c>
      <c r="K163" s="7">
        <v>12235597</v>
      </c>
      <c r="L163" s="7">
        <v>934220</v>
      </c>
      <c r="M163" s="7">
        <v>13169817</v>
      </c>
      <c r="N163" s="8"/>
      <c r="O163" s="7">
        <f t="shared" si="2"/>
        <v>4038184</v>
      </c>
      <c r="P163" s="7">
        <v>12300657</v>
      </c>
      <c r="Q163" s="7">
        <v>1070961</v>
      </c>
      <c r="R163" s="7">
        <v>13371618</v>
      </c>
      <c r="S163" s="9">
        <v>1.1591228895078761E-2</v>
      </c>
      <c r="T163" s="10"/>
    </row>
    <row r="164" spans="1:20" customFormat="1">
      <c r="A164" s="12" t="s">
        <v>44</v>
      </c>
      <c r="B164" t="s">
        <v>690</v>
      </c>
      <c r="C164" t="s">
        <v>158</v>
      </c>
      <c r="D164" t="s">
        <v>126</v>
      </c>
      <c r="E164" t="s">
        <v>152</v>
      </c>
      <c r="F164" s="4"/>
      <c r="G164" s="7">
        <v>29366804</v>
      </c>
      <c r="H164" s="7">
        <v>29231863</v>
      </c>
      <c r="I164" s="8"/>
      <c r="J164" s="7">
        <v>8090973</v>
      </c>
      <c r="K164" s="7">
        <v>19595641</v>
      </c>
      <c r="L164" s="7">
        <v>1545249</v>
      </c>
      <c r="M164" s="7">
        <v>21140890</v>
      </c>
      <c r="N164" s="8"/>
      <c r="O164" s="7">
        <f t="shared" si="2"/>
        <v>7785323</v>
      </c>
      <c r="P164" s="7">
        <v>19686481</v>
      </c>
      <c r="Q164" s="7">
        <v>1760059</v>
      </c>
      <c r="R164" s="7">
        <v>21446540</v>
      </c>
      <c r="S164" s="9">
        <v>1.0456056119310631E-2</v>
      </c>
      <c r="T164" s="10"/>
    </row>
    <row r="165" spans="1:20" customFormat="1">
      <c r="A165" s="12" t="s">
        <v>243</v>
      </c>
      <c r="B165" t="s">
        <v>691</v>
      </c>
      <c r="C165" t="s">
        <v>158</v>
      </c>
      <c r="D165" t="s">
        <v>128</v>
      </c>
      <c r="E165" t="s">
        <v>152</v>
      </c>
      <c r="F165" s="4"/>
      <c r="G165" s="7">
        <v>19864640</v>
      </c>
      <c r="H165" s="7">
        <v>19758437</v>
      </c>
      <c r="I165" s="8"/>
      <c r="J165" s="7">
        <v>4907637</v>
      </c>
      <c r="K165" s="7">
        <v>13782545</v>
      </c>
      <c r="L165" s="7">
        <v>1068255</v>
      </c>
      <c r="M165" s="7">
        <v>14850800</v>
      </c>
      <c r="N165" s="8"/>
      <c r="O165" s="7">
        <f t="shared" si="2"/>
        <v>4644288</v>
      </c>
      <c r="P165" s="7">
        <v>13887365</v>
      </c>
      <c r="Q165" s="7">
        <v>1226784</v>
      </c>
      <c r="R165" s="7">
        <v>15114149</v>
      </c>
      <c r="S165" s="9">
        <v>1.3328432810753198E-2</v>
      </c>
      <c r="T165" s="10"/>
    </row>
    <row r="166" spans="1:20" customFormat="1">
      <c r="A166" s="12" t="s">
        <v>250</v>
      </c>
      <c r="B166" t="s">
        <v>696</v>
      </c>
      <c r="C166" t="s">
        <v>158</v>
      </c>
      <c r="D166" t="s">
        <v>126</v>
      </c>
      <c r="E166" t="s">
        <v>152</v>
      </c>
      <c r="F166" s="4"/>
      <c r="G166" s="7">
        <v>28043004</v>
      </c>
      <c r="H166" s="7">
        <v>27703452</v>
      </c>
      <c r="I166" s="8"/>
      <c r="J166" s="7">
        <v>6963142</v>
      </c>
      <c r="K166" s="7">
        <v>19266424</v>
      </c>
      <c r="L166" s="7">
        <v>1473886</v>
      </c>
      <c r="M166" s="7">
        <v>20740310</v>
      </c>
      <c r="N166" s="8"/>
      <c r="O166" s="7">
        <f t="shared" si="2"/>
        <v>6660117</v>
      </c>
      <c r="P166" s="7">
        <v>19347289</v>
      </c>
      <c r="Q166" s="7">
        <v>1696046</v>
      </c>
      <c r="R166" s="7">
        <v>21043335</v>
      </c>
      <c r="S166" s="9">
        <v>1.0938167561212228E-2</v>
      </c>
      <c r="T166" s="10"/>
    </row>
    <row r="167" spans="1:20" customFormat="1">
      <c r="A167" s="12" t="s">
        <v>295</v>
      </c>
      <c r="B167" t="s">
        <v>700</v>
      </c>
      <c r="C167" t="s">
        <v>122</v>
      </c>
      <c r="D167" t="s">
        <v>126</v>
      </c>
      <c r="E167" t="s">
        <v>152</v>
      </c>
      <c r="F167" s="4"/>
      <c r="G167" s="7">
        <v>31148232</v>
      </c>
      <c r="H167" s="7">
        <v>30697365</v>
      </c>
      <c r="I167" s="8"/>
      <c r="J167" s="7">
        <v>8061488</v>
      </c>
      <c r="K167" s="7">
        <v>21032621</v>
      </c>
      <c r="L167" s="7">
        <v>1603256</v>
      </c>
      <c r="M167" s="7">
        <v>22635877</v>
      </c>
      <c r="N167" s="8"/>
      <c r="O167" s="7">
        <f t="shared" si="2"/>
        <v>7709155</v>
      </c>
      <c r="P167" s="7">
        <v>21148937</v>
      </c>
      <c r="Q167" s="7">
        <v>1839273</v>
      </c>
      <c r="R167" s="7">
        <v>22988210</v>
      </c>
      <c r="S167" s="9">
        <v>1.1477630083233529E-2</v>
      </c>
      <c r="T167" s="10"/>
    </row>
    <row r="168" spans="1:20" customFormat="1">
      <c r="A168" s="12" t="s">
        <v>281</v>
      </c>
      <c r="B168" t="s">
        <v>795</v>
      </c>
      <c r="C168" t="s">
        <v>122</v>
      </c>
      <c r="D168" t="s">
        <v>128</v>
      </c>
      <c r="E168" t="s">
        <v>152</v>
      </c>
      <c r="F168" s="4"/>
      <c r="G168" s="7">
        <v>39181534</v>
      </c>
      <c r="H168" s="7">
        <v>38631583</v>
      </c>
      <c r="I168" s="8"/>
      <c r="J168" s="7">
        <v>9382204</v>
      </c>
      <c r="K168" s="7">
        <v>27158661</v>
      </c>
      <c r="L168" s="7">
        <v>2090718</v>
      </c>
      <c r="M168" s="7">
        <v>29249379</v>
      </c>
      <c r="N168" s="8"/>
      <c r="O168" s="7">
        <f t="shared" si="2"/>
        <v>8942348</v>
      </c>
      <c r="P168" s="7">
        <v>27293527</v>
      </c>
      <c r="Q168" s="7">
        <v>2395708</v>
      </c>
      <c r="R168" s="7">
        <v>29689235</v>
      </c>
      <c r="S168" s="9">
        <v>1.1385917061695349E-2</v>
      </c>
      <c r="T168" s="10"/>
    </row>
    <row r="169" spans="1:20" customFormat="1">
      <c r="A169" s="12" t="s">
        <v>507</v>
      </c>
      <c r="B169" t="s">
        <v>857</v>
      </c>
      <c r="C169" t="s">
        <v>122</v>
      </c>
      <c r="D169" t="s">
        <v>128</v>
      </c>
      <c r="E169" t="s">
        <v>152</v>
      </c>
      <c r="F169" s="4"/>
      <c r="G169" s="7">
        <v>18416184</v>
      </c>
      <c r="H169" s="7">
        <v>18348921</v>
      </c>
      <c r="I169" s="8"/>
      <c r="J169" s="7">
        <v>5552633</v>
      </c>
      <c r="K169" s="7">
        <v>11857495</v>
      </c>
      <c r="L169" s="7">
        <v>938793</v>
      </c>
      <c r="M169" s="7">
        <v>12796288</v>
      </c>
      <c r="N169" s="8"/>
      <c r="O169" s="7">
        <f t="shared" si="2"/>
        <v>5356046</v>
      </c>
      <c r="P169" s="7">
        <v>11921724</v>
      </c>
      <c r="Q169" s="7">
        <v>1071151</v>
      </c>
      <c r="R169" s="7">
        <v>12992875</v>
      </c>
      <c r="S169" s="9">
        <v>1.0713817995074478E-2</v>
      </c>
      <c r="T169" s="10"/>
    </row>
    <row r="170" spans="1:20" customFormat="1">
      <c r="A170" s="12" t="s">
        <v>517</v>
      </c>
      <c r="B170" t="s">
        <v>855</v>
      </c>
      <c r="C170" t="s">
        <v>158</v>
      </c>
      <c r="D170" t="s">
        <v>126</v>
      </c>
      <c r="E170" t="s">
        <v>152</v>
      </c>
      <c r="F170" s="4"/>
      <c r="G170" s="7">
        <v>34010034</v>
      </c>
      <c r="H170" s="7">
        <v>33159974</v>
      </c>
      <c r="I170" s="8"/>
      <c r="J170" s="7">
        <v>10038542</v>
      </c>
      <c r="K170" s="7">
        <v>21552170</v>
      </c>
      <c r="L170" s="7">
        <v>1569262</v>
      </c>
      <c r="M170" s="7">
        <v>23121432</v>
      </c>
      <c r="N170" s="8"/>
      <c r="O170" s="7">
        <f t="shared" si="2"/>
        <v>9658375</v>
      </c>
      <c r="P170" s="7">
        <v>21682497</v>
      </c>
      <c r="Q170" s="7">
        <v>1819102</v>
      </c>
      <c r="R170" s="7">
        <v>23501599</v>
      </c>
      <c r="S170" s="9">
        <v>1.1464635044647502E-2</v>
      </c>
      <c r="T170" s="10"/>
    </row>
    <row r="171" spans="1:20" customFormat="1">
      <c r="A171" s="12" t="s">
        <v>340</v>
      </c>
      <c r="B171" t="s">
        <v>639</v>
      </c>
      <c r="C171" t="s">
        <v>157</v>
      </c>
      <c r="D171" t="s">
        <v>126</v>
      </c>
      <c r="E171" t="s">
        <v>152</v>
      </c>
      <c r="F171" s="4"/>
      <c r="G171" s="7">
        <v>106538336</v>
      </c>
      <c r="H171" s="7">
        <v>106269649</v>
      </c>
      <c r="I171" s="8"/>
      <c r="J171" s="7">
        <v>25146483</v>
      </c>
      <c r="K171" s="7">
        <v>75404057</v>
      </c>
      <c r="L171" s="7">
        <v>5719109</v>
      </c>
      <c r="M171" s="7">
        <v>81123166</v>
      </c>
      <c r="N171" s="8"/>
      <c r="O171" s="7">
        <f t="shared" si="2"/>
        <v>23881406</v>
      </c>
      <c r="P171" s="7">
        <v>75793286</v>
      </c>
      <c r="Q171" s="7">
        <v>6594957</v>
      </c>
      <c r="R171" s="7">
        <v>82388243</v>
      </c>
      <c r="S171" s="9">
        <v>1.1904405556096266E-2</v>
      </c>
      <c r="T171" s="10"/>
    </row>
    <row r="172" spans="1:20" customFormat="1">
      <c r="A172" s="12" t="s">
        <v>95</v>
      </c>
      <c r="B172" t="s">
        <v>640</v>
      </c>
      <c r="C172" t="s">
        <v>155</v>
      </c>
      <c r="D172" t="s">
        <v>128</v>
      </c>
      <c r="E172" t="s">
        <v>151</v>
      </c>
      <c r="F172" s="4"/>
      <c r="G172" s="7">
        <v>8812218</v>
      </c>
      <c r="H172" s="7">
        <v>8608529</v>
      </c>
      <c r="I172" s="8"/>
      <c r="J172" s="7">
        <v>2247691</v>
      </c>
      <c r="K172" s="7">
        <v>5885655</v>
      </c>
      <c r="L172" s="7">
        <v>475183</v>
      </c>
      <c r="M172" s="7">
        <v>6360838</v>
      </c>
      <c r="N172" s="8"/>
      <c r="O172" s="7">
        <f t="shared" si="2"/>
        <v>2143592</v>
      </c>
      <c r="P172" s="7">
        <v>5920797</v>
      </c>
      <c r="Q172" s="7">
        <v>544140</v>
      </c>
      <c r="R172" s="7">
        <v>6464937</v>
      </c>
      <c r="S172" s="9">
        <v>1.2092542175324031E-2</v>
      </c>
      <c r="T172" s="10"/>
    </row>
    <row r="173" spans="1:20" customFormat="1">
      <c r="A173" s="12" t="s">
        <v>328</v>
      </c>
      <c r="B173" t="s">
        <v>663</v>
      </c>
      <c r="C173" t="s">
        <v>123</v>
      </c>
      <c r="D173" t="s">
        <v>126</v>
      </c>
      <c r="E173" t="s">
        <v>152</v>
      </c>
      <c r="F173" s="4"/>
      <c r="G173" s="7">
        <v>17769072</v>
      </c>
      <c r="H173" s="7">
        <v>17697189</v>
      </c>
      <c r="I173" s="8"/>
      <c r="J173" s="7">
        <v>5021423</v>
      </c>
      <c r="K173" s="7">
        <v>11792395</v>
      </c>
      <c r="L173" s="7">
        <v>883371</v>
      </c>
      <c r="M173" s="7">
        <v>12675766</v>
      </c>
      <c r="N173" s="8"/>
      <c r="O173" s="7">
        <f t="shared" si="2"/>
        <v>4809576</v>
      </c>
      <c r="P173" s="7">
        <v>11861848</v>
      </c>
      <c r="Q173" s="7">
        <v>1025765</v>
      </c>
      <c r="R173" s="7">
        <v>12887613</v>
      </c>
      <c r="S173" s="9">
        <v>1.1970658164977501E-2</v>
      </c>
      <c r="T173" s="10"/>
    </row>
    <row r="174" spans="1:20" customFormat="1">
      <c r="A174" s="12" t="s">
        <v>400</v>
      </c>
      <c r="B174" t="s">
        <v>773</v>
      </c>
      <c r="C174" t="s">
        <v>156</v>
      </c>
      <c r="D174" t="s">
        <v>128</v>
      </c>
      <c r="E174" t="s">
        <v>151</v>
      </c>
      <c r="F174" s="4"/>
      <c r="G174" s="7">
        <v>19524376</v>
      </c>
      <c r="H174" s="7">
        <v>19444588</v>
      </c>
      <c r="I174" s="8"/>
      <c r="J174" s="7">
        <v>3929378</v>
      </c>
      <c r="K174" s="7">
        <v>14463510</v>
      </c>
      <c r="L174" s="7">
        <v>1051700</v>
      </c>
      <c r="M174" s="7">
        <v>15515210</v>
      </c>
      <c r="N174" s="8"/>
      <c r="O174" s="7">
        <f t="shared" si="2"/>
        <v>3707240</v>
      </c>
      <c r="P174" s="7">
        <v>14538194</v>
      </c>
      <c r="Q174" s="7">
        <v>1199154</v>
      </c>
      <c r="R174" s="7">
        <v>15737348</v>
      </c>
      <c r="S174" s="9">
        <v>1.1424155657090805E-2</v>
      </c>
      <c r="T174" s="10"/>
    </row>
    <row r="175" spans="1:20" customFormat="1">
      <c r="A175" s="12" t="s">
        <v>412</v>
      </c>
      <c r="B175" t="s">
        <v>781</v>
      </c>
      <c r="C175" t="s">
        <v>156</v>
      </c>
      <c r="D175" t="s">
        <v>128</v>
      </c>
      <c r="E175" t="s">
        <v>152</v>
      </c>
      <c r="F175" s="4"/>
      <c r="G175" s="7">
        <v>27856130</v>
      </c>
      <c r="H175" s="7">
        <v>27732837</v>
      </c>
      <c r="I175" s="8"/>
      <c r="J175" s="7">
        <v>6526524</v>
      </c>
      <c r="K175" s="7">
        <v>19660581</v>
      </c>
      <c r="L175" s="7">
        <v>1545732</v>
      </c>
      <c r="M175" s="7">
        <v>21206313</v>
      </c>
      <c r="N175" s="8"/>
      <c r="O175" s="7">
        <f t="shared" si="2"/>
        <v>6204711</v>
      </c>
      <c r="P175" s="7">
        <v>19769562</v>
      </c>
      <c r="Q175" s="7">
        <v>1758564</v>
      </c>
      <c r="R175" s="7">
        <v>21528126</v>
      </c>
      <c r="S175" s="9">
        <v>1.1604041807911683E-2</v>
      </c>
      <c r="T175" s="10"/>
    </row>
    <row r="176" spans="1:20" customFormat="1">
      <c r="A176" s="12" t="s">
        <v>508</v>
      </c>
      <c r="B176" t="s">
        <v>856</v>
      </c>
      <c r="C176" t="s">
        <v>122</v>
      </c>
      <c r="D176" t="s">
        <v>126</v>
      </c>
      <c r="E176" t="s">
        <v>152</v>
      </c>
      <c r="F176" s="4"/>
      <c r="G176" s="7">
        <v>30765452</v>
      </c>
      <c r="H176" s="7">
        <v>30590311</v>
      </c>
      <c r="I176" s="8"/>
      <c r="J176" s="7">
        <v>8111534</v>
      </c>
      <c r="K176" s="7">
        <v>20880487</v>
      </c>
      <c r="L176" s="7">
        <v>1598290</v>
      </c>
      <c r="M176" s="7">
        <v>22478777</v>
      </c>
      <c r="N176" s="8"/>
      <c r="O176" s="7">
        <f t="shared" si="2"/>
        <v>7785453</v>
      </c>
      <c r="P176" s="7">
        <v>20980230</v>
      </c>
      <c r="Q176" s="7">
        <v>1824628</v>
      </c>
      <c r="R176" s="7">
        <v>22804858</v>
      </c>
      <c r="S176" s="9">
        <v>1.0659617027103777E-2</v>
      </c>
      <c r="T176" s="10"/>
    </row>
    <row r="177" spans="1:20" customFormat="1">
      <c r="A177" s="12" t="s">
        <v>0</v>
      </c>
      <c r="B177" t="s">
        <v>559</v>
      </c>
      <c r="C177" t="s">
        <v>157</v>
      </c>
      <c r="D177" t="s">
        <v>126</v>
      </c>
      <c r="E177" t="s">
        <v>152</v>
      </c>
      <c r="F177" s="4"/>
      <c r="G177" s="7">
        <v>26927566</v>
      </c>
      <c r="H177" s="7">
        <v>26815079</v>
      </c>
      <c r="I177" s="8"/>
      <c r="J177" s="7">
        <v>5841531</v>
      </c>
      <c r="K177" s="7">
        <v>19467114</v>
      </c>
      <c r="L177" s="7">
        <v>1506434</v>
      </c>
      <c r="M177" s="7">
        <v>20973548</v>
      </c>
      <c r="N177" s="8"/>
      <c r="O177" s="7">
        <f t="shared" si="2"/>
        <v>5562329</v>
      </c>
      <c r="P177" s="7">
        <v>19536754</v>
      </c>
      <c r="Q177" s="7">
        <v>1715996</v>
      </c>
      <c r="R177" s="7">
        <v>21252750</v>
      </c>
      <c r="S177" s="9">
        <v>1.0412126699309743E-2</v>
      </c>
      <c r="T177" s="10"/>
    </row>
    <row r="178" spans="1:20" customFormat="1">
      <c r="A178" s="12" t="s">
        <v>2</v>
      </c>
      <c r="B178" t="s">
        <v>560</v>
      </c>
      <c r="C178" t="s">
        <v>157</v>
      </c>
      <c r="D178" t="s">
        <v>126</v>
      </c>
      <c r="E178" t="s">
        <v>152</v>
      </c>
      <c r="F178" s="4"/>
      <c r="G178" s="7">
        <v>21773834</v>
      </c>
      <c r="H178" s="7">
        <v>21697379</v>
      </c>
      <c r="I178" s="8"/>
      <c r="J178" s="7">
        <v>4514201</v>
      </c>
      <c r="K178" s="7">
        <v>15954795</v>
      </c>
      <c r="L178" s="7">
        <v>1228383</v>
      </c>
      <c r="M178" s="7">
        <v>17183178</v>
      </c>
      <c r="N178" s="8"/>
      <c r="O178" s="7">
        <f t="shared" si="2"/>
        <v>4275025</v>
      </c>
      <c r="P178" s="7">
        <v>16024109</v>
      </c>
      <c r="Q178" s="7">
        <v>1398245</v>
      </c>
      <c r="R178" s="7">
        <v>17422354</v>
      </c>
      <c r="S178" s="9">
        <v>1.1023266911639421E-2</v>
      </c>
      <c r="T178" s="10"/>
    </row>
    <row r="179" spans="1:20" customFormat="1">
      <c r="A179" s="12" t="s">
        <v>445</v>
      </c>
      <c r="B179" t="s">
        <v>570</v>
      </c>
      <c r="C179" t="s">
        <v>156</v>
      </c>
      <c r="D179" t="s">
        <v>126</v>
      </c>
      <c r="E179" t="s">
        <v>151</v>
      </c>
      <c r="F179" s="4"/>
      <c r="G179" s="7">
        <v>19808164</v>
      </c>
      <c r="H179" s="7">
        <v>19714696</v>
      </c>
      <c r="I179" s="8"/>
      <c r="J179" s="7">
        <v>3037578</v>
      </c>
      <c r="K179" s="7">
        <v>15621858</v>
      </c>
      <c r="L179" s="7">
        <v>1055260</v>
      </c>
      <c r="M179" s="7">
        <v>16677118</v>
      </c>
      <c r="N179" s="8"/>
      <c r="O179" s="7">
        <f t="shared" si="2"/>
        <v>2882163</v>
      </c>
      <c r="P179" s="7">
        <v>15640297</v>
      </c>
      <c r="Q179" s="7">
        <v>1192236</v>
      </c>
      <c r="R179" s="7">
        <v>16832533</v>
      </c>
      <c r="S179" s="9">
        <v>7.8832055031434426E-3</v>
      </c>
      <c r="T179" s="10"/>
    </row>
    <row r="180" spans="1:20" customFormat="1">
      <c r="A180" s="12" t="s">
        <v>468</v>
      </c>
      <c r="B180" t="s">
        <v>571</v>
      </c>
      <c r="C180" t="s">
        <v>157</v>
      </c>
      <c r="D180" t="s">
        <v>126</v>
      </c>
      <c r="E180" t="s">
        <v>151</v>
      </c>
      <c r="F180" s="4"/>
      <c r="G180" s="7">
        <v>16318942</v>
      </c>
      <c r="H180" s="7">
        <v>16069171</v>
      </c>
      <c r="I180" s="8"/>
      <c r="J180" s="7">
        <v>2736091</v>
      </c>
      <c r="K180" s="7">
        <v>12472097</v>
      </c>
      <c r="L180" s="7">
        <v>860983</v>
      </c>
      <c r="M180" s="7">
        <v>13333080</v>
      </c>
      <c r="N180" s="8"/>
      <c r="O180" s="7">
        <f t="shared" si="2"/>
        <v>2615336</v>
      </c>
      <c r="P180" s="7">
        <v>12475198</v>
      </c>
      <c r="Q180" s="7">
        <v>978637</v>
      </c>
      <c r="R180" s="7">
        <v>13453835</v>
      </c>
      <c r="S180" s="9">
        <v>7.5147000427091106E-3</v>
      </c>
      <c r="T180" s="10"/>
    </row>
    <row r="181" spans="1:20" customFormat="1">
      <c r="A181" s="12" t="s">
        <v>249</v>
      </c>
      <c r="B181" t="s">
        <v>578</v>
      </c>
      <c r="C181" t="s">
        <v>158</v>
      </c>
      <c r="D181" t="s">
        <v>126</v>
      </c>
      <c r="E181" t="s">
        <v>152</v>
      </c>
      <c r="F181" s="4"/>
      <c r="G181" s="7">
        <v>22187846</v>
      </c>
      <c r="H181" s="7">
        <v>21631959</v>
      </c>
      <c r="I181" s="8"/>
      <c r="J181" s="7">
        <v>5236032</v>
      </c>
      <c r="K181" s="7">
        <v>15282762</v>
      </c>
      <c r="L181" s="7">
        <v>1113165</v>
      </c>
      <c r="M181" s="7">
        <v>16395927</v>
      </c>
      <c r="N181" s="8"/>
      <c r="O181" s="7">
        <f t="shared" si="2"/>
        <v>4993081</v>
      </c>
      <c r="P181" s="7">
        <v>15358799</v>
      </c>
      <c r="Q181" s="7">
        <v>1280079</v>
      </c>
      <c r="R181" s="7">
        <v>16638878</v>
      </c>
      <c r="S181" s="9">
        <v>1.1231114112226267E-2</v>
      </c>
      <c r="T181" s="10"/>
    </row>
    <row r="182" spans="1:20" customFormat="1">
      <c r="A182" s="12" t="s">
        <v>173</v>
      </c>
      <c r="B182" t="s">
        <v>579</v>
      </c>
      <c r="C182" t="s">
        <v>154</v>
      </c>
      <c r="D182" t="s">
        <v>128</v>
      </c>
      <c r="E182" t="s">
        <v>152</v>
      </c>
      <c r="F182" s="4"/>
      <c r="G182" s="7">
        <v>36495788</v>
      </c>
      <c r="H182" s="7">
        <v>36493127</v>
      </c>
      <c r="I182" s="8"/>
      <c r="J182" s="7">
        <v>8231473</v>
      </c>
      <c r="K182" s="7">
        <v>26362159</v>
      </c>
      <c r="L182" s="7">
        <v>1899495</v>
      </c>
      <c r="M182" s="7">
        <v>28261654</v>
      </c>
      <c r="N182" s="8"/>
      <c r="O182" s="7">
        <f t="shared" si="2"/>
        <v>7834616</v>
      </c>
      <c r="P182" s="7">
        <v>26474842</v>
      </c>
      <c r="Q182" s="7">
        <v>2183669</v>
      </c>
      <c r="R182" s="7">
        <v>28658511</v>
      </c>
      <c r="S182" s="9">
        <v>1.08748422682441E-2</v>
      </c>
      <c r="T182" s="10"/>
    </row>
    <row r="183" spans="1:20" customFormat="1">
      <c r="A183" s="12" t="s">
        <v>4</v>
      </c>
      <c r="B183" t="s">
        <v>581</v>
      </c>
      <c r="C183" t="s">
        <v>157</v>
      </c>
      <c r="D183" t="s">
        <v>126</v>
      </c>
      <c r="E183" t="s">
        <v>151</v>
      </c>
      <c r="F183" s="4"/>
      <c r="G183" s="7">
        <v>19266072</v>
      </c>
      <c r="H183" s="7">
        <v>19179557</v>
      </c>
      <c r="I183" s="8"/>
      <c r="J183" s="7">
        <v>3974237</v>
      </c>
      <c r="K183" s="7">
        <v>14240634</v>
      </c>
      <c r="L183" s="7">
        <v>964686</v>
      </c>
      <c r="M183" s="7">
        <v>15205320</v>
      </c>
      <c r="N183" s="8"/>
      <c r="O183" s="7">
        <f t="shared" si="2"/>
        <v>3774062</v>
      </c>
      <c r="P183" s="7">
        <v>14284078</v>
      </c>
      <c r="Q183" s="7">
        <v>1121417</v>
      </c>
      <c r="R183" s="7">
        <v>15405495</v>
      </c>
      <c r="S183" s="9">
        <v>1.043689382398144E-2</v>
      </c>
      <c r="T183" s="10"/>
    </row>
    <row r="184" spans="1:20" customFormat="1">
      <c r="A184" s="12" t="s">
        <v>18</v>
      </c>
      <c r="B184" t="s">
        <v>582</v>
      </c>
      <c r="C184" t="s">
        <v>157</v>
      </c>
      <c r="D184" t="s">
        <v>126</v>
      </c>
      <c r="E184" t="s">
        <v>151</v>
      </c>
      <c r="F184" s="4"/>
      <c r="G184" s="7">
        <v>10388032</v>
      </c>
      <c r="H184" s="7">
        <v>10345350</v>
      </c>
      <c r="I184" s="8"/>
      <c r="J184" s="7">
        <v>2553506</v>
      </c>
      <c r="K184" s="7">
        <v>7266600</v>
      </c>
      <c r="L184" s="7">
        <v>525244</v>
      </c>
      <c r="M184" s="7">
        <v>7791844</v>
      </c>
      <c r="N184" s="8"/>
      <c r="O184" s="7">
        <f t="shared" si="2"/>
        <v>2431505</v>
      </c>
      <c r="P184" s="7">
        <v>7304773</v>
      </c>
      <c r="Q184" s="7">
        <v>609072</v>
      </c>
      <c r="R184" s="7">
        <v>7913845</v>
      </c>
      <c r="S184" s="9">
        <v>1.1792834461859676E-2</v>
      </c>
      <c r="T184" s="10"/>
    </row>
    <row r="185" spans="1:20" customFormat="1">
      <c r="A185" s="12" t="s">
        <v>91</v>
      </c>
      <c r="B185" t="s">
        <v>583</v>
      </c>
      <c r="C185" t="s">
        <v>155</v>
      </c>
      <c r="D185" t="s">
        <v>128</v>
      </c>
      <c r="E185" t="s">
        <v>152</v>
      </c>
      <c r="F185" s="4"/>
      <c r="G185" s="7">
        <v>27549158</v>
      </c>
      <c r="H185" s="7">
        <v>27412153</v>
      </c>
      <c r="I185" s="8"/>
      <c r="J185" s="7">
        <v>6820851</v>
      </c>
      <c r="K185" s="7">
        <v>19170618</v>
      </c>
      <c r="L185" s="7">
        <v>1420684</v>
      </c>
      <c r="M185" s="7">
        <v>20591302</v>
      </c>
      <c r="N185" s="8"/>
      <c r="O185" s="7">
        <f t="shared" si="2"/>
        <v>6502502</v>
      </c>
      <c r="P185" s="7">
        <v>19271277</v>
      </c>
      <c r="Q185" s="7">
        <v>1638374</v>
      </c>
      <c r="R185" s="7">
        <v>20909651</v>
      </c>
      <c r="S185" s="9">
        <v>1.1613425621840066E-2</v>
      </c>
      <c r="T185" s="10"/>
    </row>
    <row r="186" spans="1:20" customFormat="1">
      <c r="A186" s="12" t="s">
        <v>5</v>
      </c>
      <c r="B186" t="s">
        <v>586</v>
      </c>
      <c r="C186" t="s">
        <v>157</v>
      </c>
      <c r="D186" t="s">
        <v>126</v>
      </c>
      <c r="E186" t="s">
        <v>152</v>
      </c>
      <c r="F186" s="4"/>
      <c r="G186" s="7">
        <v>31630372</v>
      </c>
      <c r="H186" s="7">
        <v>30876485</v>
      </c>
      <c r="I186" s="8"/>
      <c r="J186" s="7">
        <v>4648688</v>
      </c>
      <c r="K186" s="7">
        <v>24546103</v>
      </c>
      <c r="L186" s="7">
        <v>1681694</v>
      </c>
      <c r="M186" s="7">
        <v>26227797</v>
      </c>
      <c r="N186" s="8"/>
      <c r="O186" s="7">
        <f t="shared" si="2"/>
        <v>4393418</v>
      </c>
      <c r="P186" s="7">
        <v>24564921</v>
      </c>
      <c r="Q186" s="7">
        <v>1918146</v>
      </c>
      <c r="R186" s="7">
        <v>26483067</v>
      </c>
      <c r="S186" s="9">
        <v>8.2674566097792543E-3</v>
      </c>
      <c r="T186" s="10"/>
    </row>
    <row r="187" spans="1:20" customFormat="1">
      <c r="A187" s="12" t="s">
        <v>463</v>
      </c>
      <c r="C187" t="s">
        <v>157</v>
      </c>
      <c r="D187" t="s">
        <v>128</v>
      </c>
      <c r="E187" t="s">
        <v>151</v>
      </c>
      <c r="F187" s="4"/>
      <c r="G187" s="7">
        <v>17238876</v>
      </c>
      <c r="H187" s="7">
        <v>17146782</v>
      </c>
      <c r="I187" s="8"/>
      <c r="J187" s="7">
        <v>3985401</v>
      </c>
      <c r="K187" s="7">
        <v>12267673</v>
      </c>
      <c r="L187" s="7">
        <v>893708</v>
      </c>
      <c r="M187" s="7">
        <v>13161381</v>
      </c>
      <c r="N187" s="8"/>
      <c r="O187" s="7">
        <f t="shared" si="2"/>
        <v>3806775</v>
      </c>
      <c r="P187" s="7">
        <v>12314035</v>
      </c>
      <c r="Q187" s="7">
        <v>1025972</v>
      </c>
      <c r="R187" s="7">
        <v>13340007</v>
      </c>
      <c r="S187" s="9">
        <v>1.0417464921406244E-2</v>
      </c>
      <c r="T187" s="10"/>
    </row>
    <row r="188" spans="1:20" customFormat="1">
      <c r="A188" s="12" t="s">
        <v>222</v>
      </c>
      <c r="C188" t="s">
        <v>154</v>
      </c>
      <c r="D188" t="s">
        <v>128</v>
      </c>
      <c r="E188" t="s">
        <v>152</v>
      </c>
      <c r="F188" s="4"/>
      <c r="G188" s="7">
        <v>34751884</v>
      </c>
      <c r="H188" s="7">
        <v>34749499</v>
      </c>
      <c r="I188" s="8"/>
      <c r="J188" s="7">
        <v>10479318</v>
      </c>
      <c r="K188" s="7">
        <v>22254724</v>
      </c>
      <c r="L188" s="7">
        <v>2015457</v>
      </c>
      <c r="M188" s="7">
        <v>24270181</v>
      </c>
      <c r="N188" s="8"/>
      <c r="O188" s="7">
        <f t="shared" si="2"/>
        <v>10157349</v>
      </c>
      <c r="P188" s="7">
        <v>22321486</v>
      </c>
      <c r="Q188" s="7">
        <v>2270664</v>
      </c>
      <c r="R188" s="7">
        <v>24592150</v>
      </c>
      <c r="S188" s="9">
        <v>9.2654285461784645E-3</v>
      </c>
      <c r="T188" s="10"/>
    </row>
    <row r="189" spans="1:20" customFormat="1">
      <c r="A189" s="12" t="s">
        <v>199</v>
      </c>
      <c r="C189" t="s">
        <v>154</v>
      </c>
      <c r="D189" t="s">
        <v>128</v>
      </c>
      <c r="E189" t="s">
        <v>152</v>
      </c>
      <c r="F189" s="4"/>
      <c r="G189" s="7">
        <v>21145648</v>
      </c>
      <c r="H189" s="7">
        <v>21143354</v>
      </c>
      <c r="I189" s="8"/>
      <c r="J189" s="7">
        <v>4238226</v>
      </c>
      <c r="K189" s="7">
        <v>15849329</v>
      </c>
      <c r="L189" s="7">
        <v>1055799</v>
      </c>
      <c r="M189" s="7">
        <v>16905128</v>
      </c>
      <c r="N189" s="8"/>
      <c r="O189" s="7">
        <f t="shared" si="2"/>
        <v>4028372</v>
      </c>
      <c r="P189" s="7">
        <v>15884982</v>
      </c>
      <c r="Q189" s="7">
        <v>1230000</v>
      </c>
      <c r="R189" s="7">
        <v>17114982</v>
      </c>
      <c r="S189" s="9">
        <v>9.9252937826231347E-3</v>
      </c>
      <c r="T189" s="10"/>
    </row>
    <row r="190" spans="1:20" customFormat="1">
      <c r="A190" s="12" t="s">
        <v>166</v>
      </c>
      <c r="C190" t="s">
        <v>155</v>
      </c>
      <c r="D190" t="s">
        <v>128</v>
      </c>
      <c r="E190" t="s">
        <v>152</v>
      </c>
      <c r="F190" s="4"/>
      <c r="G190" s="7">
        <v>19997130</v>
      </c>
      <c r="H190" s="7">
        <v>19406156</v>
      </c>
      <c r="I190" s="8"/>
      <c r="J190" s="7">
        <v>4649138</v>
      </c>
      <c r="K190" s="7">
        <v>13656058</v>
      </c>
      <c r="L190" s="7">
        <v>1100960</v>
      </c>
      <c r="M190" s="7">
        <v>14757018</v>
      </c>
      <c r="N190" s="8"/>
      <c r="O190" s="7">
        <f t="shared" si="2"/>
        <v>4419289</v>
      </c>
      <c r="P190" s="7">
        <v>13730315</v>
      </c>
      <c r="Q190" s="7">
        <v>1256552</v>
      </c>
      <c r="R190" s="7">
        <v>14986867</v>
      </c>
      <c r="S190" s="9">
        <v>1.1844128224054264E-2</v>
      </c>
      <c r="T190" s="10"/>
    </row>
    <row r="191" spans="1:20" customFormat="1">
      <c r="A191" s="12" t="s">
        <v>367</v>
      </c>
      <c r="B191" t="s">
        <v>587</v>
      </c>
      <c r="C191" t="s">
        <v>123</v>
      </c>
      <c r="D191" t="s">
        <v>127</v>
      </c>
      <c r="E191" t="s">
        <v>151</v>
      </c>
      <c r="F191" s="4"/>
      <c r="G191" s="7">
        <v>12287318</v>
      </c>
      <c r="H191" s="7">
        <v>12272435</v>
      </c>
      <c r="I191" s="8"/>
      <c r="J191" s="7">
        <v>2911174</v>
      </c>
      <c r="K191" s="7">
        <v>8711494</v>
      </c>
      <c r="L191" s="7">
        <v>649767</v>
      </c>
      <c r="M191" s="7">
        <v>9361261</v>
      </c>
      <c r="N191" s="8"/>
      <c r="O191" s="7">
        <f t="shared" si="2"/>
        <v>2788164</v>
      </c>
      <c r="P191" s="7">
        <v>8742274</v>
      </c>
      <c r="Q191" s="7">
        <v>741997</v>
      </c>
      <c r="R191" s="7">
        <v>9484271</v>
      </c>
      <c r="S191" s="9">
        <v>1.0023275739492611E-2</v>
      </c>
      <c r="T191" s="10"/>
    </row>
    <row r="192" spans="1:20" customFormat="1">
      <c r="A192" s="12" t="s">
        <v>427</v>
      </c>
      <c r="B192" t="s">
        <v>588</v>
      </c>
      <c r="C192" t="s">
        <v>156</v>
      </c>
      <c r="D192" t="s">
        <v>126</v>
      </c>
      <c r="E192" t="s">
        <v>152</v>
      </c>
      <c r="F192" s="4"/>
      <c r="G192" s="7">
        <v>24540412</v>
      </c>
      <c r="H192" s="7">
        <v>24447404</v>
      </c>
      <c r="I192" s="8"/>
      <c r="J192" s="7">
        <v>4461006</v>
      </c>
      <c r="K192" s="7">
        <v>18573154</v>
      </c>
      <c r="L192" s="7">
        <v>1413244</v>
      </c>
      <c r="M192" s="7">
        <v>19986398</v>
      </c>
      <c r="N192" s="8"/>
      <c r="O192" s="7">
        <f t="shared" si="2"/>
        <v>4194437</v>
      </c>
      <c r="P192" s="7">
        <v>18650835</v>
      </c>
      <c r="Q192" s="7">
        <v>1602132</v>
      </c>
      <c r="R192" s="7">
        <v>20252967</v>
      </c>
      <c r="S192" s="9">
        <v>1.0903775304731741E-2</v>
      </c>
      <c r="T192" s="10"/>
    </row>
    <row r="193" spans="1:20" customFormat="1">
      <c r="A193" s="12" t="s">
        <v>169</v>
      </c>
      <c r="B193" t="s">
        <v>590</v>
      </c>
      <c r="C193" t="s">
        <v>157</v>
      </c>
      <c r="D193" t="s">
        <v>126</v>
      </c>
      <c r="E193" t="s">
        <v>151</v>
      </c>
      <c r="F193" s="4"/>
      <c r="G193" s="7">
        <v>12356438</v>
      </c>
      <c r="H193" s="7">
        <v>12178189</v>
      </c>
      <c r="I193" s="8"/>
      <c r="J193" s="7">
        <v>2672353</v>
      </c>
      <c r="K193" s="7">
        <v>8871088</v>
      </c>
      <c r="L193" s="7">
        <v>634748</v>
      </c>
      <c r="M193" s="7">
        <v>9505836</v>
      </c>
      <c r="N193" s="8"/>
      <c r="O193" s="7">
        <f t="shared" si="2"/>
        <v>2528501</v>
      </c>
      <c r="P193" s="7">
        <v>8917226</v>
      </c>
      <c r="Q193" s="7">
        <v>732462</v>
      </c>
      <c r="R193" s="7">
        <v>9649688</v>
      </c>
      <c r="S193" s="9">
        <v>1.1812265354068655E-2</v>
      </c>
      <c r="T193" s="10"/>
    </row>
    <row r="194" spans="1:20" customFormat="1">
      <c r="A194" s="12" t="s">
        <v>439</v>
      </c>
      <c r="B194" t="s">
        <v>594</v>
      </c>
      <c r="C194" t="s">
        <v>156</v>
      </c>
      <c r="D194" t="s">
        <v>126</v>
      </c>
      <c r="E194" t="s">
        <v>151</v>
      </c>
      <c r="F194" s="4"/>
      <c r="G194" s="7">
        <v>13892908</v>
      </c>
      <c r="H194" s="7">
        <v>13702593</v>
      </c>
      <c r="I194" s="8"/>
      <c r="J194" s="7">
        <v>2961692</v>
      </c>
      <c r="K194" s="7">
        <v>9998546</v>
      </c>
      <c r="L194" s="7">
        <v>742355</v>
      </c>
      <c r="M194" s="7">
        <v>10740901</v>
      </c>
      <c r="N194" s="8"/>
      <c r="O194" s="7">
        <f t="shared" si="2"/>
        <v>2804985</v>
      </c>
      <c r="P194" s="7">
        <v>10051535</v>
      </c>
      <c r="Q194" s="7">
        <v>846073</v>
      </c>
      <c r="R194" s="7">
        <v>10897608</v>
      </c>
      <c r="S194" s="9">
        <v>1.1436302603456149E-2</v>
      </c>
      <c r="T194" s="10"/>
    </row>
    <row r="195" spans="1:20" customFormat="1">
      <c r="A195" s="12" t="s">
        <v>332</v>
      </c>
      <c r="B195" t="s">
        <v>596</v>
      </c>
      <c r="C195" t="s">
        <v>123</v>
      </c>
      <c r="D195" t="s">
        <v>126</v>
      </c>
      <c r="E195" t="s">
        <v>151</v>
      </c>
      <c r="F195" s="4"/>
      <c r="G195" s="7">
        <v>17353392</v>
      </c>
      <c r="H195" s="7">
        <v>17320971</v>
      </c>
      <c r="I195" s="8"/>
      <c r="J195" s="7">
        <v>3715710</v>
      </c>
      <c r="K195" s="7">
        <v>12611017</v>
      </c>
      <c r="L195" s="7">
        <v>994244</v>
      </c>
      <c r="M195" s="7">
        <v>13605261</v>
      </c>
      <c r="N195" s="8"/>
      <c r="O195" s="7">
        <f t="shared" si="2"/>
        <v>3532994</v>
      </c>
      <c r="P195" s="7">
        <v>12659851</v>
      </c>
      <c r="Q195" s="7">
        <v>1128126</v>
      </c>
      <c r="R195" s="7">
        <v>13787977</v>
      </c>
      <c r="S195" s="9">
        <v>1.0548831240465677E-2</v>
      </c>
      <c r="T195" s="10"/>
    </row>
    <row r="196" spans="1:20" customFormat="1">
      <c r="A196" s="12" t="s">
        <v>475</v>
      </c>
      <c r="B196" t="s">
        <v>598</v>
      </c>
      <c r="C196" t="s">
        <v>125</v>
      </c>
      <c r="D196" t="s">
        <v>126</v>
      </c>
      <c r="E196" t="s">
        <v>152</v>
      </c>
      <c r="F196" s="4"/>
      <c r="G196" s="7">
        <v>620811458</v>
      </c>
      <c r="H196" s="7">
        <v>613751192</v>
      </c>
      <c r="I196" s="8"/>
      <c r="J196" s="7">
        <v>88234138</v>
      </c>
      <c r="K196" s="7">
        <v>492987754</v>
      </c>
      <c r="L196" s="7">
        <v>32529300</v>
      </c>
      <c r="M196" s="7">
        <v>525517054</v>
      </c>
      <c r="N196" s="8"/>
      <c r="O196" s="7">
        <f t="shared" ref="O196:O259" si="3">H196-R196</f>
        <v>84177192</v>
      </c>
      <c r="P196" s="7">
        <v>492689920</v>
      </c>
      <c r="Q196" s="7">
        <v>36884080</v>
      </c>
      <c r="R196" s="7">
        <v>529574000</v>
      </c>
      <c r="S196" s="9">
        <v>6.6100824778520346E-3</v>
      </c>
      <c r="T196" s="10"/>
    </row>
    <row r="197" spans="1:20" customFormat="1">
      <c r="A197" s="12" t="s">
        <v>426</v>
      </c>
      <c r="B197" t="s">
        <v>603</v>
      </c>
      <c r="C197" t="s">
        <v>156</v>
      </c>
      <c r="D197" t="s">
        <v>126</v>
      </c>
      <c r="E197" t="s">
        <v>151</v>
      </c>
      <c r="F197" s="4"/>
      <c r="G197" s="7">
        <v>20755552</v>
      </c>
      <c r="H197" s="7">
        <v>20647508</v>
      </c>
      <c r="I197" s="8"/>
      <c r="J197" s="7">
        <v>3622791</v>
      </c>
      <c r="K197" s="7">
        <v>15863172</v>
      </c>
      <c r="L197" s="7">
        <v>1161545</v>
      </c>
      <c r="M197" s="7">
        <v>17024717</v>
      </c>
      <c r="N197" s="8"/>
      <c r="O197" s="7">
        <f t="shared" si="3"/>
        <v>3406783</v>
      </c>
      <c r="P197" s="7">
        <v>15919699</v>
      </c>
      <c r="Q197" s="7">
        <v>1321026</v>
      </c>
      <c r="R197" s="7">
        <v>17240725</v>
      </c>
      <c r="S197" s="9">
        <v>1.0461698331827744E-2</v>
      </c>
      <c r="T197" s="10"/>
    </row>
    <row r="198" spans="1:20" customFormat="1">
      <c r="A198" s="12" t="s">
        <v>198</v>
      </c>
      <c r="C198" t="s">
        <v>154</v>
      </c>
      <c r="D198" t="s">
        <v>128</v>
      </c>
      <c r="E198" t="s">
        <v>152</v>
      </c>
      <c r="F198" s="4"/>
      <c r="G198" s="7">
        <v>16668124</v>
      </c>
      <c r="H198" s="7">
        <v>16667302</v>
      </c>
      <c r="I198" s="8"/>
      <c r="J198" s="7">
        <v>3931889</v>
      </c>
      <c r="K198" s="7">
        <v>11848044</v>
      </c>
      <c r="L198" s="7">
        <v>887369</v>
      </c>
      <c r="M198" s="7">
        <v>12735413</v>
      </c>
      <c r="N198" s="8"/>
      <c r="O198" s="7">
        <f t="shared" si="3"/>
        <v>3745999</v>
      </c>
      <c r="P198" s="7">
        <v>11900142</v>
      </c>
      <c r="Q198" s="7">
        <v>1021161</v>
      </c>
      <c r="R198" s="7">
        <v>12921303</v>
      </c>
      <c r="S198" s="9">
        <v>1.1152974848598771E-2</v>
      </c>
      <c r="T198" s="10"/>
    </row>
    <row r="199" spans="1:20" customFormat="1">
      <c r="A199" s="12" t="s">
        <v>26</v>
      </c>
      <c r="B199" t="s">
        <v>638</v>
      </c>
      <c r="C199" t="s">
        <v>157</v>
      </c>
      <c r="D199" t="s">
        <v>126</v>
      </c>
      <c r="E199" t="s">
        <v>151</v>
      </c>
      <c r="F199" s="4"/>
      <c r="G199" s="7">
        <v>17019952</v>
      </c>
      <c r="H199" s="7">
        <v>16940665</v>
      </c>
      <c r="I199" s="8"/>
      <c r="J199" s="7">
        <v>3989846</v>
      </c>
      <c r="K199" s="7">
        <v>12021291</v>
      </c>
      <c r="L199" s="7">
        <v>929528</v>
      </c>
      <c r="M199" s="7">
        <v>12950819</v>
      </c>
      <c r="N199" s="8"/>
      <c r="O199" s="7">
        <f t="shared" si="3"/>
        <v>3795576</v>
      </c>
      <c r="P199" s="7">
        <v>12083038</v>
      </c>
      <c r="Q199" s="7">
        <v>1062051</v>
      </c>
      <c r="R199" s="7">
        <v>13145089</v>
      </c>
      <c r="S199" s="9">
        <v>1.1467672609074083E-2</v>
      </c>
      <c r="T199" s="10"/>
    </row>
    <row r="200" spans="1:20" customFormat="1">
      <c r="A200" s="12" t="s">
        <v>340</v>
      </c>
      <c r="B200" t="s">
        <v>639</v>
      </c>
      <c r="C200" t="s">
        <v>123</v>
      </c>
      <c r="D200" t="s">
        <v>126</v>
      </c>
      <c r="E200" t="s">
        <v>152</v>
      </c>
      <c r="F200" s="4"/>
      <c r="G200" s="7">
        <v>16700752</v>
      </c>
      <c r="H200" s="7">
        <v>16495698</v>
      </c>
      <c r="I200" s="8"/>
      <c r="J200" s="7">
        <v>3875025</v>
      </c>
      <c r="K200" s="7">
        <v>11742134</v>
      </c>
      <c r="L200" s="7">
        <v>878539</v>
      </c>
      <c r="M200" s="7">
        <v>12620673</v>
      </c>
      <c r="N200" s="8"/>
      <c r="O200" s="7">
        <f t="shared" si="3"/>
        <v>3669739</v>
      </c>
      <c r="P200" s="7">
        <v>11809938</v>
      </c>
      <c r="Q200" s="7">
        <v>1016021</v>
      </c>
      <c r="R200" s="7">
        <v>12825959</v>
      </c>
      <c r="S200" s="9">
        <v>1.244482046167431E-2</v>
      </c>
      <c r="T200" s="10"/>
    </row>
    <row r="201" spans="1:20" customFormat="1">
      <c r="A201" s="12" t="s">
        <v>171</v>
      </c>
      <c r="B201" t="s">
        <v>642</v>
      </c>
      <c r="C201" t="s">
        <v>154</v>
      </c>
      <c r="D201" t="s">
        <v>128</v>
      </c>
      <c r="E201" t="s">
        <v>152</v>
      </c>
      <c r="F201" s="4"/>
      <c r="G201" s="7">
        <v>36769336</v>
      </c>
      <c r="H201" s="7">
        <v>36765376</v>
      </c>
      <c r="I201" s="8"/>
      <c r="J201" s="7">
        <v>8917890</v>
      </c>
      <c r="K201" s="7">
        <v>25874439</v>
      </c>
      <c r="L201" s="7">
        <v>1973047</v>
      </c>
      <c r="M201" s="7">
        <v>27847486</v>
      </c>
      <c r="N201" s="8"/>
      <c r="O201" s="7">
        <f t="shared" si="3"/>
        <v>8520509</v>
      </c>
      <c r="P201" s="7">
        <v>25980652</v>
      </c>
      <c r="Q201" s="7">
        <v>2264215</v>
      </c>
      <c r="R201" s="7">
        <v>28244867</v>
      </c>
      <c r="S201" s="9">
        <v>1.080856619010234E-2</v>
      </c>
      <c r="T201" s="10"/>
    </row>
    <row r="202" spans="1:20" customFormat="1">
      <c r="A202" s="12" t="s">
        <v>192</v>
      </c>
      <c r="B202" t="s">
        <v>653</v>
      </c>
      <c r="C202" t="s">
        <v>154</v>
      </c>
      <c r="D202" t="s">
        <v>128</v>
      </c>
      <c r="E202" t="s">
        <v>151</v>
      </c>
      <c r="F202" s="4"/>
      <c r="G202" s="7">
        <v>12314772</v>
      </c>
      <c r="H202" s="7">
        <v>12313929</v>
      </c>
      <c r="I202" s="8"/>
      <c r="J202" s="7">
        <v>3964001</v>
      </c>
      <c r="K202" s="7">
        <v>7716298</v>
      </c>
      <c r="L202" s="7">
        <v>633630</v>
      </c>
      <c r="M202" s="7">
        <v>8349928</v>
      </c>
      <c r="N202" s="8"/>
      <c r="O202" s="7">
        <f t="shared" si="3"/>
        <v>3840786</v>
      </c>
      <c r="P202" s="7">
        <v>7749604</v>
      </c>
      <c r="Q202" s="7">
        <v>723539</v>
      </c>
      <c r="R202" s="7">
        <v>8473143</v>
      </c>
      <c r="S202" s="9">
        <v>1.0006148321953132E-2</v>
      </c>
      <c r="T202" s="10"/>
    </row>
    <row r="203" spans="1:20" customFormat="1">
      <c r="A203" s="12" t="s">
        <v>80</v>
      </c>
      <c r="B203" t="s">
        <v>654</v>
      </c>
      <c r="C203" t="s">
        <v>155</v>
      </c>
      <c r="D203" t="s">
        <v>128</v>
      </c>
      <c r="E203" t="s">
        <v>151</v>
      </c>
      <c r="F203" s="4"/>
      <c r="G203" s="7">
        <v>11368890</v>
      </c>
      <c r="H203" s="7">
        <v>11162040</v>
      </c>
      <c r="I203" s="8"/>
      <c r="J203" s="7">
        <v>2537501</v>
      </c>
      <c r="K203" s="7">
        <v>8067308</v>
      </c>
      <c r="L203" s="7">
        <v>557231</v>
      </c>
      <c r="M203" s="7">
        <v>8624539</v>
      </c>
      <c r="N203" s="8"/>
      <c r="O203" s="7">
        <f t="shared" si="3"/>
        <v>2409023</v>
      </c>
      <c r="P203" s="7">
        <v>8104550</v>
      </c>
      <c r="Q203" s="7">
        <v>648467</v>
      </c>
      <c r="R203" s="7">
        <v>8753017</v>
      </c>
      <c r="S203" s="9">
        <v>1.1510261565090253E-2</v>
      </c>
      <c r="T203" s="10"/>
    </row>
    <row r="204" spans="1:20" customFormat="1">
      <c r="A204" s="12" t="s">
        <v>207</v>
      </c>
      <c r="B204" t="s">
        <v>655</v>
      </c>
      <c r="C204" t="s">
        <v>154</v>
      </c>
      <c r="D204" t="s">
        <v>128</v>
      </c>
      <c r="E204" t="s">
        <v>152</v>
      </c>
      <c r="F204" s="4"/>
      <c r="G204" s="7">
        <v>15281734</v>
      </c>
      <c r="H204" s="7">
        <v>15280249</v>
      </c>
      <c r="I204" s="8"/>
      <c r="J204" s="7">
        <v>4646734</v>
      </c>
      <c r="K204" s="7">
        <v>9957927</v>
      </c>
      <c r="L204" s="7">
        <v>675588</v>
      </c>
      <c r="M204" s="7">
        <v>10633515</v>
      </c>
      <c r="N204" s="8"/>
      <c r="O204" s="7">
        <f t="shared" si="3"/>
        <v>4508639</v>
      </c>
      <c r="P204" s="7">
        <v>9988920</v>
      </c>
      <c r="Q204" s="7">
        <v>782690</v>
      </c>
      <c r="R204" s="7">
        <v>10771610</v>
      </c>
      <c r="S204" s="9">
        <v>9.0374836169227341E-3</v>
      </c>
      <c r="T204" s="10"/>
    </row>
    <row r="205" spans="1:20" customFormat="1">
      <c r="A205" s="12" t="s">
        <v>525</v>
      </c>
      <c r="B205" t="s">
        <v>668</v>
      </c>
      <c r="C205" t="s">
        <v>155</v>
      </c>
      <c r="D205" t="s">
        <v>128</v>
      </c>
      <c r="E205" t="s">
        <v>152</v>
      </c>
      <c r="F205" s="4"/>
      <c r="G205" s="7">
        <v>22430134</v>
      </c>
      <c r="H205" s="7">
        <v>21962230</v>
      </c>
      <c r="I205" s="8"/>
      <c r="J205" s="7">
        <v>4602136</v>
      </c>
      <c r="K205" s="7">
        <v>16174772</v>
      </c>
      <c r="L205" s="7">
        <v>1185322</v>
      </c>
      <c r="M205" s="7">
        <v>17360094</v>
      </c>
      <c r="N205" s="8"/>
      <c r="O205" s="7">
        <f t="shared" si="3"/>
        <v>4355321</v>
      </c>
      <c r="P205" s="7">
        <v>16242342</v>
      </c>
      <c r="Q205" s="7">
        <v>1364567</v>
      </c>
      <c r="R205" s="7">
        <v>17606909</v>
      </c>
      <c r="S205" s="9">
        <v>1.1238157509506092E-2</v>
      </c>
      <c r="T205" s="10"/>
    </row>
    <row r="206" spans="1:20" customFormat="1">
      <c r="A206" s="12" t="s">
        <v>527</v>
      </c>
      <c r="B206" t="s">
        <v>968</v>
      </c>
      <c r="C206" t="s">
        <v>154</v>
      </c>
      <c r="D206" t="s">
        <v>128</v>
      </c>
      <c r="E206" t="s">
        <v>151</v>
      </c>
      <c r="F206" s="4"/>
      <c r="G206" s="7">
        <v>13218342</v>
      </c>
      <c r="H206" s="7">
        <v>13217403</v>
      </c>
      <c r="I206" s="8"/>
      <c r="J206" s="7">
        <v>2589328</v>
      </c>
      <c r="K206" s="7">
        <v>9970973</v>
      </c>
      <c r="L206" s="7">
        <v>657102</v>
      </c>
      <c r="M206" s="7">
        <v>10628075</v>
      </c>
      <c r="N206" s="8"/>
      <c r="O206" s="7">
        <f t="shared" si="3"/>
        <v>2503249</v>
      </c>
      <c r="P206" s="7">
        <v>9961966</v>
      </c>
      <c r="Q206" s="7">
        <v>752188</v>
      </c>
      <c r="R206" s="7">
        <v>10714154</v>
      </c>
      <c r="S206" s="9">
        <v>6.5125501583026563E-3</v>
      </c>
      <c r="T206" s="10"/>
    </row>
    <row r="207" spans="1:20" customFormat="1">
      <c r="A207" s="12" t="s">
        <v>206</v>
      </c>
      <c r="B207" t="s">
        <v>670</v>
      </c>
      <c r="C207" t="s">
        <v>154</v>
      </c>
      <c r="D207" t="s">
        <v>128</v>
      </c>
      <c r="E207" t="s">
        <v>151</v>
      </c>
      <c r="F207" s="4"/>
      <c r="G207" s="7">
        <v>11661022</v>
      </c>
      <c r="H207" s="7">
        <v>11660453</v>
      </c>
      <c r="I207" s="8"/>
      <c r="J207" s="7">
        <v>3056600</v>
      </c>
      <c r="K207" s="7">
        <v>8028036</v>
      </c>
      <c r="L207" s="7">
        <v>575817</v>
      </c>
      <c r="M207" s="7">
        <v>8603853</v>
      </c>
      <c r="N207" s="8"/>
      <c r="O207" s="7">
        <f t="shared" si="3"/>
        <v>2931532</v>
      </c>
      <c r="P207" s="7">
        <v>8061852</v>
      </c>
      <c r="Q207" s="7">
        <v>667069</v>
      </c>
      <c r="R207" s="7">
        <v>8728921</v>
      </c>
      <c r="S207" s="9">
        <v>1.0725826861100508E-2</v>
      </c>
      <c r="T207" s="10"/>
    </row>
    <row r="208" spans="1:20" customFormat="1">
      <c r="A208" s="12" t="s">
        <v>8</v>
      </c>
      <c r="B208" t="s">
        <v>685</v>
      </c>
      <c r="C208" t="s">
        <v>157</v>
      </c>
      <c r="D208" t="s">
        <v>126</v>
      </c>
      <c r="E208" t="s">
        <v>152</v>
      </c>
      <c r="F208" s="4"/>
      <c r="G208" s="7">
        <v>24769040</v>
      </c>
      <c r="H208" s="7">
        <v>24386919</v>
      </c>
      <c r="I208" s="8"/>
      <c r="J208" s="7">
        <v>5375278</v>
      </c>
      <c r="K208" s="7">
        <v>17616646</v>
      </c>
      <c r="L208" s="7">
        <v>1394995</v>
      </c>
      <c r="M208" s="7">
        <v>19011641</v>
      </c>
      <c r="N208" s="8"/>
      <c r="O208" s="7">
        <f t="shared" si="3"/>
        <v>5088020</v>
      </c>
      <c r="P208" s="7">
        <v>17708421</v>
      </c>
      <c r="Q208" s="7">
        <v>1590478</v>
      </c>
      <c r="R208" s="7">
        <v>19298899</v>
      </c>
      <c r="S208" s="9">
        <v>1.1779183750107999E-2</v>
      </c>
      <c r="T208" s="10"/>
    </row>
    <row r="209" spans="1:20" customFormat="1">
      <c r="A209" s="12" t="s">
        <v>286</v>
      </c>
      <c r="B209" t="s">
        <v>686</v>
      </c>
      <c r="C209" t="s">
        <v>122</v>
      </c>
      <c r="D209" t="s">
        <v>126</v>
      </c>
      <c r="E209" t="s">
        <v>152</v>
      </c>
      <c r="F209" s="4"/>
      <c r="G209" s="7">
        <v>18982096</v>
      </c>
      <c r="H209" s="7">
        <v>18845185</v>
      </c>
      <c r="I209" s="8"/>
      <c r="J209" s="7">
        <v>5189569</v>
      </c>
      <c r="K209" s="7">
        <v>12699350</v>
      </c>
      <c r="L209" s="7">
        <v>956266</v>
      </c>
      <c r="M209" s="7">
        <v>13655616</v>
      </c>
      <c r="N209" s="8"/>
      <c r="O209" s="7">
        <f t="shared" si="3"/>
        <v>5001934</v>
      </c>
      <c r="P209" s="7">
        <v>12754927</v>
      </c>
      <c r="Q209" s="7">
        <v>1088324</v>
      </c>
      <c r="R209" s="7">
        <v>13843251</v>
      </c>
      <c r="S209" s="9">
        <v>9.9566547104737897E-3</v>
      </c>
      <c r="T209" s="10"/>
    </row>
    <row r="210" spans="1:20" customFormat="1">
      <c r="A210" s="12" t="s">
        <v>506</v>
      </c>
      <c r="B210" t="s">
        <v>721</v>
      </c>
      <c r="C210" t="s">
        <v>124</v>
      </c>
      <c r="D210" t="s">
        <v>128</v>
      </c>
      <c r="E210" t="s">
        <v>152</v>
      </c>
      <c r="F210" s="4"/>
      <c r="G210" s="7">
        <v>91252464</v>
      </c>
      <c r="H210" s="7">
        <v>91247363</v>
      </c>
      <c r="I210" s="8"/>
      <c r="J210" s="7">
        <v>20595125</v>
      </c>
      <c r="K210" s="7">
        <v>65458683</v>
      </c>
      <c r="L210" s="7">
        <v>5193555</v>
      </c>
      <c r="M210" s="7">
        <v>70652238</v>
      </c>
      <c r="N210" s="8"/>
      <c r="O210" s="7">
        <f t="shared" si="3"/>
        <v>19613269</v>
      </c>
      <c r="P210" s="7">
        <v>65715279</v>
      </c>
      <c r="Q210" s="7">
        <v>5918815</v>
      </c>
      <c r="R210" s="7">
        <v>71634094</v>
      </c>
      <c r="S210" s="9">
        <v>1.0760376713571438E-2</v>
      </c>
      <c r="T210" s="10"/>
    </row>
    <row r="211" spans="1:20" customFormat="1">
      <c r="A211" s="12" t="s">
        <v>180</v>
      </c>
      <c r="B211" t="s">
        <v>722</v>
      </c>
      <c r="C211" t="s">
        <v>154</v>
      </c>
      <c r="D211" t="s">
        <v>128</v>
      </c>
      <c r="E211" t="s">
        <v>152</v>
      </c>
      <c r="F211" s="4"/>
      <c r="G211" s="7">
        <v>36384998</v>
      </c>
      <c r="H211" s="7">
        <v>36382607</v>
      </c>
      <c r="I211" s="8"/>
      <c r="J211" s="7">
        <v>10795059</v>
      </c>
      <c r="K211" s="7">
        <v>23569800</v>
      </c>
      <c r="L211" s="7">
        <v>2017748</v>
      </c>
      <c r="M211" s="7">
        <v>25587548</v>
      </c>
      <c r="N211" s="8"/>
      <c r="O211" s="7">
        <f t="shared" si="3"/>
        <v>10428891</v>
      </c>
      <c r="P211" s="7">
        <v>23671918</v>
      </c>
      <c r="Q211" s="7">
        <v>2281798</v>
      </c>
      <c r="R211" s="7">
        <v>25953716</v>
      </c>
      <c r="S211" s="9">
        <v>1.0064369493917794E-2</v>
      </c>
      <c r="T211" s="10"/>
    </row>
    <row r="212" spans="1:20" customFormat="1">
      <c r="A212" s="12" t="s">
        <v>163</v>
      </c>
      <c r="B212" t="s">
        <v>723</v>
      </c>
      <c r="C212" t="s">
        <v>124</v>
      </c>
      <c r="D212" t="s">
        <v>128</v>
      </c>
      <c r="E212" t="s">
        <v>152</v>
      </c>
      <c r="F212" s="4"/>
      <c r="G212" s="7">
        <v>60255720</v>
      </c>
      <c r="H212" s="7">
        <v>60249815</v>
      </c>
      <c r="I212" s="8"/>
      <c r="J212" s="7">
        <v>18538652</v>
      </c>
      <c r="K212" s="7">
        <v>38787524</v>
      </c>
      <c r="L212" s="7">
        <v>2923639</v>
      </c>
      <c r="M212" s="7">
        <v>41711163</v>
      </c>
      <c r="N212" s="8"/>
      <c r="O212" s="7">
        <f t="shared" si="3"/>
        <v>18152412</v>
      </c>
      <c r="P212" s="7">
        <v>38793904</v>
      </c>
      <c r="Q212" s="7">
        <v>3303499</v>
      </c>
      <c r="R212" s="7">
        <v>42097403</v>
      </c>
      <c r="S212" s="9">
        <v>6.4106420907682456E-3</v>
      </c>
      <c r="T212" s="10"/>
    </row>
    <row r="213" spans="1:20" customFormat="1">
      <c r="A213" s="12" t="s">
        <v>210</v>
      </c>
      <c r="B213" t="s">
        <v>731</v>
      </c>
      <c r="C213" t="s">
        <v>154</v>
      </c>
      <c r="D213" t="s">
        <v>128</v>
      </c>
      <c r="E213" t="s">
        <v>151</v>
      </c>
      <c r="F213" s="4"/>
      <c r="G213" s="7">
        <v>9935180</v>
      </c>
      <c r="H213" s="7">
        <v>9934302</v>
      </c>
      <c r="I213" s="8"/>
      <c r="J213" s="7">
        <v>2363094</v>
      </c>
      <c r="K213" s="7">
        <v>7096030</v>
      </c>
      <c r="L213" s="7">
        <v>475178</v>
      </c>
      <c r="M213" s="7">
        <v>7571208</v>
      </c>
      <c r="N213" s="8"/>
      <c r="O213" s="7">
        <f t="shared" si="3"/>
        <v>2293738</v>
      </c>
      <c r="P213" s="7">
        <v>7096804</v>
      </c>
      <c r="Q213" s="7">
        <v>543760</v>
      </c>
      <c r="R213" s="7">
        <v>7640564</v>
      </c>
      <c r="S213" s="9">
        <v>6.9814668408510229E-3</v>
      </c>
      <c r="T213" s="10"/>
    </row>
    <row r="214" spans="1:20" customFormat="1">
      <c r="A214" s="12" t="s">
        <v>134</v>
      </c>
      <c r="B214" t="s">
        <v>750</v>
      </c>
      <c r="C214" t="s">
        <v>154</v>
      </c>
      <c r="D214" t="s">
        <v>128</v>
      </c>
      <c r="E214" t="s">
        <v>152</v>
      </c>
      <c r="F214" s="4"/>
      <c r="G214" s="7">
        <v>14831286</v>
      </c>
      <c r="H214" s="7">
        <v>14830017</v>
      </c>
      <c r="I214" s="8"/>
      <c r="J214" s="7">
        <v>4006747</v>
      </c>
      <c r="K214" s="7">
        <v>10010287</v>
      </c>
      <c r="L214" s="7">
        <v>812983</v>
      </c>
      <c r="M214" s="7">
        <v>10823270</v>
      </c>
      <c r="N214" s="8"/>
      <c r="O214" s="7">
        <f t="shared" si="3"/>
        <v>3850188</v>
      </c>
      <c r="P214" s="7">
        <v>10051856</v>
      </c>
      <c r="Q214" s="7">
        <v>927973</v>
      </c>
      <c r="R214" s="7">
        <v>10979829</v>
      </c>
      <c r="S214" s="9">
        <v>1.0556899563904747E-2</v>
      </c>
      <c r="T214" s="10"/>
    </row>
    <row r="215" spans="1:20" customFormat="1">
      <c r="A215" s="12" t="s">
        <v>267</v>
      </c>
      <c r="B215" t="s">
        <v>900</v>
      </c>
      <c r="C215" t="s">
        <v>158</v>
      </c>
      <c r="D215" t="s">
        <v>126</v>
      </c>
      <c r="E215" t="s">
        <v>151</v>
      </c>
      <c r="F215" s="4"/>
      <c r="G215" s="7">
        <v>14674068</v>
      </c>
      <c r="H215" s="7">
        <v>14603159</v>
      </c>
      <c r="I215" s="8"/>
      <c r="J215" s="7">
        <v>3480187</v>
      </c>
      <c r="K215" s="7">
        <v>10344111</v>
      </c>
      <c r="L215" s="7">
        <v>778861</v>
      </c>
      <c r="M215" s="7">
        <v>11122972</v>
      </c>
      <c r="N215" s="8"/>
      <c r="O215" s="7">
        <f t="shared" si="3"/>
        <v>3305691</v>
      </c>
      <c r="P215" s="7">
        <v>10402513</v>
      </c>
      <c r="Q215" s="7">
        <v>894955</v>
      </c>
      <c r="R215" s="7">
        <v>11297468</v>
      </c>
      <c r="S215" s="9">
        <v>1.1949195376151146E-2</v>
      </c>
      <c r="T215" s="10"/>
    </row>
    <row r="216" spans="1:20" customFormat="1">
      <c r="A216" s="12" t="s">
        <v>103</v>
      </c>
      <c r="B216" t="s">
        <v>771</v>
      </c>
      <c r="C216" t="s">
        <v>155</v>
      </c>
      <c r="D216" t="s">
        <v>128</v>
      </c>
      <c r="E216" t="s">
        <v>151</v>
      </c>
      <c r="F216" s="4"/>
      <c r="G216" s="7">
        <v>14952116</v>
      </c>
      <c r="H216" s="7">
        <v>14478132</v>
      </c>
      <c r="I216" s="8"/>
      <c r="J216" s="7">
        <v>3458737</v>
      </c>
      <c r="K216" s="7">
        <v>10237771</v>
      </c>
      <c r="L216" s="7">
        <v>781624</v>
      </c>
      <c r="M216" s="7">
        <v>11019395</v>
      </c>
      <c r="N216" s="8"/>
      <c r="O216" s="7">
        <f t="shared" si="3"/>
        <v>3301738</v>
      </c>
      <c r="P216" s="7">
        <v>10281559</v>
      </c>
      <c r="Q216" s="7">
        <v>894835</v>
      </c>
      <c r="R216" s="7">
        <v>11176394</v>
      </c>
      <c r="S216" s="9">
        <v>1.0843871294998553E-2</v>
      </c>
      <c r="T216" s="10"/>
    </row>
    <row r="217" spans="1:20" customFormat="1">
      <c r="A217" s="12" t="s">
        <v>304</v>
      </c>
      <c r="C217" t="s">
        <v>122</v>
      </c>
      <c r="D217" t="s">
        <v>127</v>
      </c>
      <c r="E217" t="s">
        <v>151</v>
      </c>
      <c r="F217" s="4"/>
      <c r="G217" s="7">
        <v>14525162</v>
      </c>
      <c r="H217" s="7">
        <v>14493058</v>
      </c>
      <c r="I217" s="8"/>
      <c r="J217" s="7">
        <v>3429472</v>
      </c>
      <c r="K217" s="7">
        <v>10333666</v>
      </c>
      <c r="L217" s="7">
        <v>729920</v>
      </c>
      <c r="M217" s="7">
        <v>11063586</v>
      </c>
      <c r="N217" s="8"/>
      <c r="O217" s="7">
        <f t="shared" si="3"/>
        <v>3262912</v>
      </c>
      <c r="P217" s="7">
        <v>10381398</v>
      </c>
      <c r="Q217" s="7">
        <v>848748</v>
      </c>
      <c r="R217" s="7">
        <v>11230146</v>
      </c>
      <c r="S217" s="9">
        <v>1.1492398636643834E-2</v>
      </c>
      <c r="T217" s="10"/>
    </row>
    <row r="218" spans="1:20" customFormat="1">
      <c r="A218" s="12" t="s">
        <v>316</v>
      </c>
      <c r="B218" t="s">
        <v>772</v>
      </c>
      <c r="C218" t="s">
        <v>122</v>
      </c>
      <c r="D218" t="s">
        <v>126</v>
      </c>
      <c r="E218" t="s">
        <v>152</v>
      </c>
      <c r="F218" s="4"/>
      <c r="G218" s="7">
        <v>25170276</v>
      </c>
      <c r="H218" s="7">
        <v>25039224</v>
      </c>
      <c r="I218" s="8"/>
      <c r="J218" s="7">
        <v>5558465</v>
      </c>
      <c r="K218" s="7">
        <v>18162057</v>
      </c>
      <c r="L218" s="7">
        <v>1318702</v>
      </c>
      <c r="M218" s="7">
        <v>19480759</v>
      </c>
      <c r="N218" s="8"/>
      <c r="O218" s="7">
        <f t="shared" si="3"/>
        <v>5296514</v>
      </c>
      <c r="P218" s="7">
        <v>18233631</v>
      </c>
      <c r="Q218" s="7">
        <v>1509079</v>
      </c>
      <c r="R218" s="7">
        <v>19742710</v>
      </c>
      <c r="S218" s="9">
        <v>1.0461626127071669E-2</v>
      </c>
      <c r="T218" s="10"/>
    </row>
    <row r="219" spans="1:20" customFormat="1">
      <c r="A219" s="12" t="s">
        <v>318</v>
      </c>
      <c r="B219" t="s">
        <v>780</v>
      </c>
      <c r="C219" t="s">
        <v>122</v>
      </c>
      <c r="D219" t="s">
        <v>126</v>
      </c>
      <c r="E219" t="s">
        <v>152</v>
      </c>
      <c r="F219" s="4"/>
      <c r="G219" s="7">
        <v>20616154</v>
      </c>
      <c r="H219" s="7">
        <v>20517653</v>
      </c>
      <c r="I219" s="8"/>
      <c r="J219" s="7">
        <v>5815487</v>
      </c>
      <c r="K219" s="7">
        <v>13673492</v>
      </c>
      <c r="L219" s="7">
        <v>1028674</v>
      </c>
      <c r="M219" s="7">
        <v>14702166</v>
      </c>
      <c r="N219" s="8"/>
      <c r="O219" s="7">
        <f t="shared" si="3"/>
        <v>5610021</v>
      </c>
      <c r="P219" s="7">
        <v>13730630</v>
      </c>
      <c r="Q219" s="7">
        <v>1177002</v>
      </c>
      <c r="R219" s="7">
        <v>14907632</v>
      </c>
      <c r="S219" s="9">
        <v>1.0014108338804638E-2</v>
      </c>
      <c r="T219" s="10"/>
    </row>
    <row r="220" spans="1:20" customFormat="1">
      <c r="A220" s="12" t="s">
        <v>263</v>
      </c>
      <c r="B220" t="s">
        <v>938</v>
      </c>
      <c r="C220" t="s">
        <v>158</v>
      </c>
      <c r="D220" t="s">
        <v>126</v>
      </c>
      <c r="E220" t="s">
        <v>152</v>
      </c>
      <c r="F220" s="4"/>
      <c r="G220" s="7">
        <v>28990060</v>
      </c>
      <c r="H220" s="7">
        <v>28633893</v>
      </c>
      <c r="I220" s="8"/>
      <c r="J220" s="7">
        <v>6392845</v>
      </c>
      <c r="K220" s="7">
        <v>20778042</v>
      </c>
      <c r="L220" s="7">
        <v>1463006</v>
      </c>
      <c r="M220" s="7">
        <v>22241048</v>
      </c>
      <c r="N220" s="8"/>
      <c r="O220" s="7">
        <f t="shared" si="3"/>
        <v>6080148</v>
      </c>
      <c r="P220" s="7">
        <v>20859753</v>
      </c>
      <c r="Q220" s="7">
        <v>1693992</v>
      </c>
      <c r="R220" s="7">
        <v>22553745</v>
      </c>
      <c r="S220" s="9">
        <v>1.0920519958637829E-2</v>
      </c>
      <c r="T220" s="10"/>
    </row>
    <row r="221" spans="1:20" customFormat="1">
      <c r="A221" s="12" t="s">
        <v>518</v>
      </c>
      <c r="B221" t="s">
        <v>978</v>
      </c>
      <c r="C221" t="s">
        <v>156</v>
      </c>
      <c r="D221" t="s">
        <v>128</v>
      </c>
      <c r="E221" t="s">
        <v>152</v>
      </c>
      <c r="F221" s="4"/>
      <c r="G221" s="7">
        <v>18882860</v>
      </c>
      <c r="H221" s="7">
        <v>18821243</v>
      </c>
      <c r="I221" s="8"/>
      <c r="J221" s="7">
        <v>3995258</v>
      </c>
      <c r="K221" s="7">
        <v>13812497</v>
      </c>
      <c r="L221" s="7">
        <v>1013488</v>
      </c>
      <c r="M221" s="7">
        <v>14825985</v>
      </c>
      <c r="N221" s="8"/>
      <c r="O221" s="7">
        <f t="shared" si="3"/>
        <v>3790226</v>
      </c>
      <c r="P221" s="7">
        <v>13871195</v>
      </c>
      <c r="Q221" s="7">
        <v>1159822</v>
      </c>
      <c r="R221" s="7">
        <v>15031017</v>
      </c>
      <c r="S221" s="9">
        <v>1.0893648203787604E-2</v>
      </c>
      <c r="T221" s="10"/>
    </row>
    <row r="222" spans="1:20" customFormat="1">
      <c r="A222" s="12" t="s">
        <v>519</v>
      </c>
      <c r="B222" t="s">
        <v>847</v>
      </c>
      <c r="C222" t="s">
        <v>123</v>
      </c>
      <c r="D222" t="s">
        <v>128</v>
      </c>
      <c r="E222" t="s">
        <v>151</v>
      </c>
      <c r="F222" s="4"/>
      <c r="G222" s="7">
        <v>20992188</v>
      </c>
      <c r="H222" s="7">
        <v>20121509</v>
      </c>
      <c r="I222" s="8"/>
      <c r="J222" s="7">
        <v>3957448</v>
      </c>
      <c r="K222" s="7">
        <v>15120656</v>
      </c>
      <c r="L222" s="7">
        <v>1043405</v>
      </c>
      <c r="M222" s="7">
        <v>16164061</v>
      </c>
      <c r="N222" s="8"/>
      <c r="O222" s="7">
        <f t="shared" si="3"/>
        <v>3793091</v>
      </c>
      <c r="P222" s="7">
        <v>15137258</v>
      </c>
      <c r="Q222" s="7">
        <v>1191160</v>
      </c>
      <c r="R222" s="7">
        <v>16328418</v>
      </c>
      <c r="S222" s="9">
        <v>8.1682243613041151E-3</v>
      </c>
      <c r="T222" s="10"/>
    </row>
    <row r="223" spans="1:20" customFormat="1">
      <c r="A223" s="12" t="s">
        <v>397</v>
      </c>
      <c r="B223" t="s">
        <v>814</v>
      </c>
      <c r="C223" t="s">
        <v>156</v>
      </c>
      <c r="D223" t="s">
        <v>128</v>
      </c>
      <c r="E223" t="s">
        <v>152</v>
      </c>
      <c r="F223" s="4"/>
      <c r="G223" s="7">
        <v>19988480</v>
      </c>
      <c r="H223" s="7">
        <v>19944335</v>
      </c>
      <c r="I223" s="8"/>
      <c r="J223" s="7">
        <v>4055629</v>
      </c>
      <c r="K223" s="7">
        <v>14766133</v>
      </c>
      <c r="L223" s="7">
        <v>1122573</v>
      </c>
      <c r="M223" s="7">
        <v>15888706</v>
      </c>
      <c r="N223" s="8"/>
      <c r="O223" s="7">
        <f t="shared" si="3"/>
        <v>3827750</v>
      </c>
      <c r="P223" s="7">
        <v>14840907</v>
      </c>
      <c r="Q223" s="7">
        <v>1275678</v>
      </c>
      <c r="R223" s="7">
        <v>16116585</v>
      </c>
      <c r="S223" s="9">
        <v>1.142575072069337E-2</v>
      </c>
      <c r="T223" s="10"/>
    </row>
    <row r="224" spans="1:20" customFormat="1">
      <c r="A224" s="12" t="s">
        <v>349</v>
      </c>
      <c r="C224" t="s">
        <v>123</v>
      </c>
      <c r="D224" t="s">
        <v>128</v>
      </c>
      <c r="E224" t="s">
        <v>152</v>
      </c>
      <c r="F224" s="4"/>
      <c r="G224" s="7">
        <v>26789892</v>
      </c>
      <c r="H224" s="7">
        <v>26686723</v>
      </c>
      <c r="I224" s="8"/>
      <c r="J224" s="7">
        <v>5897280</v>
      </c>
      <c r="K224" s="7">
        <v>19393919</v>
      </c>
      <c r="L224" s="7">
        <v>1395524</v>
      </c>
      <c r="M224" s="7">
        <v>20789443</v>
      </c>
      <c r="N224" s="8"/>
      <c r="O224" s="7">
        <f t="shared" si="3"/>
        <v>5574677</v>
      </c>
      <c r="P224" s="7">
        <v>19493967</v>
      </c>
      <c r="Q224" s="7">
        <v>1618079</v>
      </c>
      <c r="R224" s="7">
        <v>21112046</v>
      </c>
      <c r="S224" s="9">
        <v>1.2088520572570862E-2</v>
      </c>
      <c r="T224" s="10"/>
    </row>
    <row r="225" spans="1:20" customFormat="1">
      <c r="A225" s="12" t="s">
        <v>354</v>
      </c>
      <c r="B225" t="s">
        <v>821</v>
      </c>
      <c r="C225" t="s">
        <v>123</v>
      </c>
      <c r="D225" t="s">
        <v>128</v>
      </c>
      <c r="E225" t="s">
        <v>151</v>
      </c>
      <c r="F225" s="4"/>
      <c r="G225" s="7">
        <v>14986578</v>
      </c>
      <c r="H225" s="7">
        <v>14969365</v>
      </c>
      <c r="I225" s="8"/>
      <c r="J225" s="7">
        <v>5288351</v>
      </c>
      <c r="K225" s="7">
        <v>9018037</v>
      </c>
      <c r="L225" s="7">
        <v>662977</v>
      </c>
      <c r="M225" s="7">
        <v>9681014</v>
      </c>
      <c r="N225" s="8"/>
      <c r="O225" s="7">
        <f t="shared" si="3"/>
        <v>5135111</v>
      </c>
      <c r="P225" s="7">
        <v>9065221</v>
      </c>
      <c r="Q225" s="7">
        <v>769033</v>
      </c>
      <c r="R225" s="7">
        <v>9834254</v>
      </c>
      <c r="S225" s="9">
        <v>1.0236907176757331E-2</v>
      </c>
      <c r="T225" s="10"/>
    </row>
    <row r="226" spans="1:20" customFormat="1">
      <c r="A226" s="12" t="s">
        <v>112</v>
      </c>
      <c r="B226" t="s">
        <v>828</v>
      </c>
      <c r="C226" t="s">
        <v>155</v>
      </c>
      <c r="D226" t="s">
        <v>128</v>
      </c>
      <c r="E226" t="s">
        <v>152</v>
      </c>
      <c r="F226" s="4"/>
      <c r="G226" s="7">
        <v>39051520</v>
      </c>
      <c r="H226" s="7">
        <v>38804515</v>
      </c>
      <c r="I226" s="8"/>
      <c r="J226" s="7">
        <v>7484386</v>
      </c>
      <c r="K226" s="7">
        <v>29234557</v>
      </c>
      <c r="L226" s="7">
        <v>2085572</v>
      </c>
      <c r="M226" s="7">
        <v>31320129</v>
      </c>
      <c r="N226" s="8"/>
      <c r="O226" s="7">
        <f t="shared" si="3"/>
        <v>7152011</v>
      </c>
      <c r="P226" s="7">
        <v>29283435</v>
      </c>
      <c r="Q226" s="7">
        <v>2369069</v>
      </c>
      <c r="R226" s="7">
        <v>31652504</v>
      </c>
      <c r="S226" s="9">
        <v>8.5653692617985305E-3</v>
      </c>
      <c r="T226" s="10"/>
    </row>
    <row r="227" spans="1:20" customFormat="1">
      <c r="A227" s="12" t="s">
        <v>403</v>
      </c>
      <c r="B227" t="s">
        <v>830</v>
      </c>
      <c r="C227" t="s">
        <v>156</v>
      </c>
      <c r="D227" t="s">
        <v>128</v>
      </c>
      <c r="E227" t="s">
        <v>152</v>
      </c>
      <c r="F227" s="4"/>
      <c r="G227" s="7">
        <v>21368414</v>
      </c>
      <c r="H227" s="7">
        <v>21080275</v>
      </c>
      <c r="I227" s="8"/>
      <c r="J227" s="7">
        <v>4635586</v>
      </c>
      <c r="K227" s="7">
        <v>15221861</v>
      </c>
      <c r="L227" s="7">
        <v>1222828</v>
      </c>
      <c r="M227" s="7">
        <v>16444689</v>
      </c>
      <c r="N227" s="8"/>
      <c r="O227" s="7">
        <f t="shared" si="3"/>
        <v>4373822</v>
      </c>
      <c r="P227" s="7">
        <v>15315248</v>
      </c>
      <c r="Q227" s="7">
        <v>1391205</v>
      </c>
      <c r="R227" s="7">
        <v>16706453</v>
      </c>
      <c r="S227" s="9">
        <v>1.2417485066015505E-2</v>
      </c>
      <c r="T227" s="10"/>
    </row>
    <row r="228" spans="1:20" customFormat="1">
      <c r="A228" s="12" t="s">
        <v>121</v>
      </c>
      <c r="B228" t="s">
        <v>831</v>
      </c>
      <c r="C228" t="s">
        <v>156</v>
      </c>
      <c r="D228" t="s">
        <v>128</v>
      </c>
      <c r="E228" t="s">
        <v>152</v>
      </c>
      <c r="F228" s="4"/>
      <c r="G228" s="7">
        <v>21806256</v>
      </c>
      <c r="H228" s="7">
        <v>21727085</v>
      </c>
      <c r="I228" s="8"/>
      <c r="J228" s="7">
        <v>4974281</v>
      </c>
      <c r="K228" s="7">
        <v>15562225</v>
      </c>
      <c r="L228" s="7">
        <v>1190579</v>
      </c>
      <c r="M228" s="7">
        <v>16752804</v>
      </c>
      <c r="N228" s="8"/>
      <c r="O228" s="7">
        <f t="shared" si="3"/>
        <v>4709957</v>
      </c>
      <c r="P228" s="7">
        <v>15657958</v>
      </c>
      <c r="Q228" s="7">
        <v>1359170</v>
      </c>
      <c r="R228" s="7">
        <v>17017128</v>
      </c>
      <c r="S228" s="9">
        <v>1.2165644862161675E-2</v>
      </c>
      <c r="T228" s="10"/>
    </row>
    <row r="229" spans="1:20" customFormat="1">
      <c r="A229" s="12" t="s">
        <v>342</v>
      </c>
      <c r="B229" t="s">
        <v>837</v>
      </c>
      <c r="C229" t="s">
        <v>123</v>
      </c>
      <c r="D229" t="s">
        <v>128</v>
      </c>
      <c r="E229" t="s">
        <v>152</v>
      </c>
      <c r="F229" s="4"/>
      <c r="G229" s="7">
        <v>19896148</v>
      </c>
      <c r="H229" s="7">
        <v>19827300</v>
      </c>
      <c r="I229" s="8"/>
      <c r="J229" s="7">
        <v>4375806</v>
      </c>
      <c r="K229" s="7">
        <v>14355736</v>
      </c>
      <c r="L229" s="7">
        <v>1095758</v>
      </c>
      <c r="M229" s="7">
        <v>15451494</v>
      </c>
      <c r="N229" s="8"/>
      <c r="O229" s="7">
        <f t="shared" si="3"/>
        <v>4131678</v>
      </c>
      <c r="P229" s="7">
        <v>14437446</v>
      </c>
      <c r="Q229" s="7">
        <v>1258176</v>
      </c>
      <c r="R229" s="7">
        <v>15695622</v>
      </c>
      <c r="S229" s="9">
        <v>1.2312720340137084E-2</v>
      </c>
      <c r="T229" s="10"/>
    </row>
    <row r="230" spans="1:20" customFormat="1">
      <c r="A230" s="12" t="s">
        <v>116</v>
      </c>
      <c r="B230" t="s">
        <v>838</v>
      </c>
      <c r="C230" t="s">
        <v>155</v>
      </c>
      <c r="D230" t="s">
        <v>128</v>
      </c>
      <c r="E230" t="s">
        <v>151</v>
      </c>
      <c r="F230" s="4"/>
      <c r="G230" s="7">
        <v>11150330</v>
      </c>
      <c r="H230" s="7">
        <v>10813736</v>
      </c>
      <c r="I230" s="8"/>
      <c r="J230" s="7">
        <v>2387707</v>
      </c>
      <c r="K230" s="7">
        <v>7826059</v>
      </c>
      <c r="L230" s="7">
        <v>599970</v>
      </c>
      <c r="M230" s="7">
        <v>8426029</v>
      </c>
      <c r="N230" s="8"/>
      <c r="O230" s="7">
        <f t="shared" si="3"/>
        <v>2257641</v>
      </c>
      <c r="P230" s="7">
        <v>7869933</v>
      </c>
      <c r="Q230" s="7">
        <v>686162</v>
      </c>
      <c r="R230" s="7">
        <v>8556095</v>
      </c>
      <c r="S230" s="9">
        <v>1.2027850504210571E-2</v>
      </c>
      <c r="T230" s="10"/>
    </row>
    <row r="231" spans="1:20" customFormat="1">
      <c r="A231" s="12" t="s">
        <v>414</v>
      </c>
      <c r="B231" t="s">
        <v>839</v>
      </c>
      <c r="C231" t="s">
        <v>156</v>
      </c>
      <c r="D231" t="s">
        <v>128</v>
      </c>
      <c r="E231" t="s">
        <v>151</v>
      </c>
      <c r="F231" s="4"/>
      <c r="G231" s="7">
        <v>18050616</v>
      </c>
      <c r="H231" s="7">
        <v>17980367</v>
      </c>
      <c r="I231" s="8"/>
      <c r="J231" s="7">
        <v>3811382</v>
      </c>
      <c r="K231" s="7">
        <v>13236909</v>
      </c>
      <c r="L231" s="7">
        <v>932076</v>
      </c>
      <c r="M231" s="7">
        <v>14168985</v>
      </c>
      <c r="N231" s="8"/>
      <c r="O231" s="7">
        <f t="shared" si="3"/>
        <v>3610782</v>
      </c>
      <c r="P231" s="7">
        <v>13293182</v>
      </c>
      <c r="Q231" s="7">
        <v>1076403</v>
      </c>
      <c r="R231" s="7">
        <v>14369585</v>
      </c>
      <c r="S231" s="9">
        <v>1.1156613210397763E-2</v>
      </c>
      <c r="T231" s="10"/>
    </row>
    <row r="232" spans="1:20" customFormat="1">
      <c r="A232" s="12" t="s">
        <v>234</v>
      </c>
      <c r="B232" t="s">
        <v>840</v>
      </c>
      <c r="C232" t="s">
        <v>158</v>
      </c>
      <c r="D232" t="s">
        <v>126</v>
      </c>
      <c r="E232" t="s">
        <v>151</v>
      </c>
      <c r="F232" s="4"/>
      <c r="G232" s="7">
        <v>22799462</v>
      </c>
      <c r="H232" s="7">
        <v>22389720</v>
      </c>
      <c r="I232" s="8"/>
      <c r="J232" s="7">
        <v>3100731</v>
      </c>
      <c r="K232" s="7">
        <v>18102659</v>
      </c>
      <c r="L232" s="7">
        <v>1186330</v>
      </c>
      <c r="M232" s="7">
        <v>19288989</v>
      </c>
      <c r="N232" s="8"/>
      <c r="O232" s="7">
        <f t="shared" si="3"/>
        <v>2930074</v>
      </c>
      <c r="P232" s="7">
        <v>18103364</v>
      </c>
      <c r="Q232" s="7">
        <v>1356282</v>
      </c>
      <c r="R232" s="7">
        <v>19459646</v>
      </c>
      <c r="S232" s="9">
        <v>7.6221140773533565E-3</v>
      </c>
      <c r="T232" s="10"/>
    </row>
    <row r="233" spans="1:20" customFormat="1">
      <c r="A233" s="12" t="s">
        <v>419</v>
      </c>
      <c r="C233" t="s">
        <v>156</v>
      </c>
      <c r="D233" t="s">
        <v>128</v>
      </c>
      <c r="E233" t="s">
        <v>152</v>
      </c>
      <c r="F233" s="4"/>
      <c r="G233" s="7">
        <v>24922080</v>
      </c>
      <c r="H233" s="7">
        <v>24390801</v>
      </c>
      <c r="I233" s="8"/>
      <c r="J233" s="7">
        <v>4452678</v>
      </c>
      <c r="K233" s="7">
        <v>18646587</v>
      </c>
      <c r="L233" s="7">
        <v>1291536</v>
      </c>
      <c r="M233" s="7">
        <v>19938123</v>
      </c>
      <c r="N233" s="8"/>
      <c r="O233" s="7">
        <f t="shared" si="3"/>
        <v>4201692</v>
      </c>
      <c r="P233" s="7">
        <v>18709421</v>
      </c>
      <c r="Q233" s="7">
        <v>1479688</v>
      </c>
      <c r="R233" s="7">
        <v>20189109</v>
      </c>
      <c r="S233" s="9">
        <v>1.0290190961748243E-2</v>
      </c>
      <c r="T233" s="10"/>
    </row>
    <row r="234" spans="1:20" customFormat="1">
      <c r="A234" s="12" t="s">
        <v>298</v>
      </c>
      <c r="B234" t="s">
        <v>908</v>
      </c>
      <c r="C234" t="s">
        <v>122</v>
      </c>
      <c r="D234" t="s">
        <v>128</v>
      </c>
      <c r="E234" t="s">
        <v>151</v>
      </c>
      <c r="F234" s="4"/>
      <c r="G234" s="7">
        <v>12740278</v>
      </c>
      <c r="H234" s="7">
        <v>12391597</v>
      </c>
      <c r="I234" s="8"/>
      <c r="J234" s="7">
        <v>2374710</v>
      </c>
      <c r="K234" s="7">
        <v>9373299</v>
      </c>
      <c r="L234" s="7">
        <v>643588</v>
      </c>
      <c r="M234" s="7">
        <v>10016887</v>
      </c>
      <c r="N234" s="8"/>
      <c r="O234" s="7">
        <f t="shared" si="3"/>
        <v>2278440</v>
      </c>
      <c r="P234" s="7">
        <v>9383943</v>
      </c>
      <c r="Q234" s="7">
        <v>729214</v>
      </c>
      <c r="R234" s="7">
        <v>10113157</v>
      </c>
      <c r="S234" s="9">
        <v>7.7689744106429542E-3</v>
      </c>
      <c r="T234" s="10"/>
    </row>
    <row r="235" spans="1:20" customFormat="1">
      <c r="A235" s="12" t="s">
        <v>422</v>
      </c>
      <c r="B235" t="s">
        <v>909</v>
      </c>
      <c r="C235" t="s">
        <v>156</v>
      </c>
      <c r="D235" t="s">
        <v>128</v>
      </c>
      <c r="E235" t="s">
        <v>151</v>
      </c>
      <c r="F235" s="4"/>
      <c r="G235" s="7">
        <v>25194950</v>
      </c>
      <c r="H235" s="7">
        <v>25115734</v>
      </c>
      <c r="I235" s="8"/>
      <c r="J235" s="7">
        <v>3990594</v>
      </c>
      <c r="K235" s="7">
        <v>19710610</v>
      </c>
      <c r="L235" s="7">
        <v>1414530</v>
      </c>
      <c r="M235" s="7">
        <v>21125140</v>
      </c>
      <c r="N235" s="8"/>
      <c r="O235" s="7">
        <f t="shared" si="3"/>
        <v>3754270</v>
      </c>
      <c r="P235" s="7">
        <v>19754792</v>
      </c>
      <c r="Q235" s="7">
        <v>1606672</v>
      </c>
      <c r="R235" s="7">
        <v>21361464</v>
      </c>
      <c r="S235" s="9">
        <v>9.4094004977119117E-3</v>
      </c>
      <c r="T235" s="10"/>
    </row>
    <row r="236" spans="1:20" customFormat="1">
      <c r="A236" s="12" t="s">
        <v>447</v>
      </c>
      <c r="B236" t="s">
        <v>910</v>
      </c>
      <c r="C236" t="s">
        <v>156</v>
      </c>
      <c r="D236" t="s">
        <v>128</v>
      </c>
      <c r="E236" t="s">
        <v>152</v>
      </c>
      <c r="F236" s="4"/>
      <c r="G236" s="7">
        <v>30432974</v>
      </c>
      <c r="H236" s="7">
        <v>29776257</v>
      </c>
      <c r="I236" s="8"/>
      <c r="J236" s="7">
        <v>5353894</v>
      </c>
      <c r="K236" s="7">
        <v>22785232</v>
      </c>
      <c r="L236" s="7">
        <v>1637131</v>
      </c>
      <c r="M236" s="7">
        <v>24422363</v>
      </c>
      <c r="N236" s="8"/>
      <c r="O236" s="7">
        <f t="shared" si="3"/>
        <v>5065109</v>
      </c>
      <c r="P236" s="7">
        <v>22854325</v>
      </c>
      <c r="Q236" s="7">
        <v>1856823</v>
      </c>
      <c r="R236" s="7">
        <v>24711148</v>
      </c>
      <c r="S236" s="9">
        <v>9.6984990423746014E-3</v>
      </c>
      <c r="T236" s="10"/>
    </row>
    <row r="237" spans="1:20" customFormat="1">
      <c r="A237" s="12" t="s">
        <v>245</v>
      </c>
      <c r="B237" t="s">
        <v>911</v>
      </c>
      <c r="C237" t="s">
        <v>158</v>
      </c>
      <c r="D237" t="s">
        <v>128</v>
      </c>
      <c r="E237" t="s">
        <v>151</v>
      </c>
      <c r="F237" s="4"/>
      <c r="G237" s="7">
        <v>19051986</v>
      </c>
      <c r="H237" s="7">
        <v>18808079</v>
      </c>
      <c r="I237" s="8"/>
      <c r="J237" s="7">
        <v>3816642</v>
      </c>
      <c r="K237" s="7">
        <v>13960800</v>
      </c>
      <c r="L237" s="7">
        <v>1030637</v>
      </c>
      <c r="M237" s="7">
        <v>14991437</v>
      </c>
      <c r="N237" s="8"/>
      <c r="O237" s="7">
        <f t="shared" si="3"/>
        <v>3622731</v>
      </c>
      <c r="P237" s="7">
        <v>14007622</v>
      </c>
      <c r="Q237" s="7">
        <v>1177726</v>
      </c>
      <c r="R237" s="7">
        <v>15185348</v>
      </c>
      <c r="S237" s="9">
        <v>1.0309984342366916E-2</v>
      </c>
      <c r="T237" s="10"/>
    </row>
    <row r="238" spans="1:20" customFormat="1">
      <c r="A238" s="12" t="s">
        <v>224</v>
      </c>
      <c r="B238" t="s">
        <v>917</v>
      </c>
      <c r="C238" t="s">
        <v>123</v>
      </c>
      <c r="D238" t="s">
        <v>128</v>
      </c>
      <c r="E238" t="s">
        <v>152</v>
      </c>
      <c r="F238" s="4"/>
      <c r="G238" s="7">
        <v>23292578</v>
      </c>
      <c r="H238" s="7">
        <v>23263523</v>
      </c>
      <c r="I238" s="8"/>
      <c r="J238" s="7">
        <v>4243560</v>
      </c>
      <c r="K238" s="7">
        <v>17677760</v>
      </c>
      <c r="L238" s="7">
        <v>1342203</v>
      </c>
      <c r="M238" s="7">
        <v>19019963</v>
      </c>
      <c r="N238" s="8"/>
      <c r="O238" s="7">
        <f t="shared" si="3"/>
        <v>4002758</v>
      </c>
      <c r="P238" s="7">
        <v>17734908</v>
      </c>
      <c r="Q238" s="7">
        <v>1525857</v>
      </c>
      <c r="R238" s="7">
        <v>19260765</v>
      </c>
      <c r="S238" s="9">
        <v>1.0351054739215552E-2</v>
      </c>
      <c r="T238" s="10"/>
    </row>
    <row r="239" spans="1:20" customFormat="1">
      <c r="A239" s="12" t="s">
        <v>416</v>
      </c>
      <c r="B239" t="s">
        <v>918</v>
      </c>
      <c r="C239" t="s">
        <v>156</v>
      </c>
      <c r="D239" t="s">
        <v>128</v>
      </c>
      <c r="E239" t="s">
        <v>152</v>
      </c>
      <c r="F239" s="4"/>
      <c r="G239" s="7">
        <v>23497822</v>
      </c>
      <c r="H239" s="7">
        <v>23203853</v>
      </c>
      <c r="I239" s="8"/>
      <c r="J239" s="7">
        <v>4019359</v>
      </c>
      <c r="K239" s="7">
        <v>17882250</v>
      </c>
      <c r="L239" s="7">
        <v>1302244</v>
      </c>
      <c r="M239" s="7">
        <v>19184494</v>
      </c>
      <c r="N239" s="8"/>
      <c r="O239" s="7">
        <f t="shared" si="3"/>
        <v>3793591</v>
      </c>
      <c r="P239" s="7">
        <v>17934338</v>
      </c>
      <c r="Q239" s="7">
        <v>1475924</v>
      </c>
      <c r="R239" s="7">
        <v>19410262</v>
      </c>
      <c r="S239" s="9">
        <v>9.7297634147225469E-3</v>
      </c>
      <c r="T239" s="10"/>
    </row>
    <row r="240" spans="1:20" customFormat="1">
      <c r="A240" s="12" t="s">
        <v>424</v>
      </c>
      <c r="B240" t="s">
        <v>919</v>
      </c>
      <c r="C240" t="s">
        <v>156</v>
      </c>
      <c r="D240" t="s">
        <v>128</v>
      </c>
      <c r="E240" t="s">
        <v>152</v>
      </c>
      <c r="F240" s="4"/>
      <c r="G240" s="7">
        <v>23477036</v>
      </c>
      <c r="H240" s="7">
        <v>23385345</v>
      </c>
      <c r="I240" s="8"/>
      <c r="J240" s="7">
        <v>4118200</v>
      </c>
      <c r="K240" s="7">
        <v>17902828</v>
      </c>
      <c r="L240" s="7">
        <v>1364317</v>
      </c>
      <c r="M240" s="7">
        <v>19267145</v>
      </c>
      <c r="N240" s="8"/>
      <c r="O240" s="7">
        <f t="shared" si="3"/>
        <v>3888698</v>
      </c>
      <c r="P240" s="7">
        <v>17955090</v>
      </c>
      <c r="Q240" s="7">
        <v>1541557</v>
      </c>
      <c r="R240" s="7">
        <v>19496647</v>
      </c>
      <c r="S240" s="9">
        <v>9.8139240622706226E-3</v>
      </c>
      <c r="T240" s="10"/>
    </row>
    <row r="241" spans="1:20" customFormat="1">
      <c r="A241" s="12" t="s">
        <v>202</v>
      </c>
      <c r="B241" t="s">
        <v>615</v>
      </c>
      <c r="C241" t="s">
        <v>154</v>
      </c>
      <c r="D241" t="s">
        <v>128</v>
      </c>
      <c r="E241" t="s">
        <v>152</v>
      </c>
      <c r="F241" s="4"/>
      <c r="G241" s="7">
        <v>18549480</v>
      </c>
      <c r="H241" s="7">
        <v>18547937</v>
      </c>
      <c r="I241" s="8"/>
      <c r="J241" s="7">
        <v>5352391</v>
      </c>
      <c r="K241" s="7">
        <v>12297079</v>
      </c>
      <c r="L241" s="7">
        <v>898467</v>
      </c>
      <c r="M241" s="7">
        <v>13195546</v>
      </c>
      <c r="N241" s="8"/>
      <c r="O241" s="7">
        <f t="shared" si="3"/>
        <v>5138998</v>
      </c>
      <c r="P241" s="7">
        <v>12361430</v>
      </c>
      <c r="Q241" s="7">
        <v>1047509</v>
      </c>
      <c r="R241" s="7">
        <v>13408939</v>
      </c>
      <c r="S241" s="9">
        <v>1.15049452669588E-2</v>
      </c>
      <c r="T241" s="10"/>
    </row>
    <row r="242" spans="1:20" customFormat="1">
      <c r="A242" s="12" t="s">
        <v>218</v>
      </c>
      <c r="B242" t="s">
        <v>616</v>
      </c>
      <c r="C242" t="s">
        <v>154</v>
      </c>
      <c r="D242" t="s">
        <v>128</v>
      </c>
      <c r="E242" t="s">
        <v>152</v>
      </c>
      <c r="F242" s="4"/>
      <c r="G242" s="7">
        <v>17148850</v>
      </c>
      <c r="H242" s="7">
        <v>17147766</v>
      </c>
      <c r="I242" s="8"/>
      <c r="J242" s="7">
        <v>5670754</v>
      </c>
      <c r="K242" s="7">
        <v>10569265</v>
      </c>
      <c r="L242" s="7">
        <v>907747</v>
      </c>
      <c r="M242" s="7">
        <v>11477012</v>
      </c>
      <c r="N242" s="8"/>
      <c r="O242" s="7">
        <f t="shared" si="3"/>
        <v>5499865</v>
      </c>
      <c r="P242" s="7">
        <v>10617808</v>
      </c>
      <c r="Q242" s="7">
        <v>1030093</v>
      </c>
      <c r="R242" s="7">
        <v>11647901</v>
      </c>
      <c r="S242" s="9">
        <v>9.9656713300146499E-3</v>
      </c>
      <c r="T242" s="10"/>
    </row>
    <row r="243" spans="1:20" customFormat="1">
      <c r="A243" s="12" t="s">
        <v>73</v>
      </c>
      <c r="B243" t="s">
        <v>618</v>
      </c>
      <c r="C243" t="s">
        <v>155</v>
      </c>
      <c r="D243" t="s">
        <v>128</v>
      </c>
      <c r="E243" t="s">
        <v>151</v>
      </c>
      <c r="F243" s="4"/>
      <c r="G243" s="7">
        <v>12415470</v>
      </c>
      <c r="H243" s="7">
        <v>12070740</v>
      </c>
      <c r="I243" s="8"/>
      <c r="J243" s="7">
        <v>4018046</v>
      </c>
      <c r="K243" s="7">
        <v>7504318</v>
      </c>
      <c r="L243" s="7">
        <v>548376</v>
      </c>
      <c r="M243" s="7">
        <v>8052694</v>
      </c>
      <c r="N243" s="8"/>
      <c r="O243" s="7">
        <f t="shared" si="3"/>
        <v>3892241</v>
      </c>
      <c r="P243" s="7">
        <v>7540922</v>
      </c>
      <c r="Q243" s="7">
        <v>637577</v>
      </c>
      <c r="R243" s="7">
        <v>8178499</v>
      </c>
      <c r="S243" s="9">
        <v>1.0422310479722039E-2</v>
      </c>
      <c r="T243" s="10"/>
    </row>
    <row r="244" spans="1:20" customFormat="1">
      <c r="A244" s="12" t="s">
        <v>241</v>
      </c>
      <c r="B244" t="s">
        <v>698</v>
      </c>
      <c r="C244" t="s">
        <v>158</v>
      </c>
      <c r="D244" t="s">
        <v>126</v>
      </c>
      <c r="E244" t="s">
        <v>152</v>
      </c>
      <c r="F244" s="4"/>
      <c r="G244" s="7">
        <v>20120102</v>
      </c>
      <c r="H244" s="7">
        <v>19865980</v>
      </c>
      <c r="I244" s="8"/>
      <c r="J244" s="7">
        <v>5138684</v>
      </c>
      <c r="K244" s="7">
        <v>13760746</v>
      </c>
      <c r="L244" s="7">
        <v>966550</v>
      </c>
      <c r="M244" s="7">
        <v>14727296</v>
      </c>
      <c r="N244" s="8"/>
      <c r="O244" s="7">
        <f t="shared" si="3"/>
        <v>4888884</v>
      </c>
      <c r="P244" s="7">
        <v>13847591</v>
      </c>
      <c r="Q244" s="7">
        <v>1129505</v>
      </c>
      <c r="R244" s="7">
        <v>14977096</v>
      </c>
      <c r="S244" s="9">
        <v>1.2574260117044314E-2</v>
      </c>
      <c r="T244" s="10"/>
    </row>
    <row r="245" spans="1:20" customFormat="1">
      <c r="A245" s="12" t="s">
        <v>505</v>
      </c>
      <c r="B245" t="s">
        <v>701</v>
      </c>
      <c r="C245" t="s">
        <v>122</v>
      </c>
      <c r="D245" t="s">
        <v>126</v>
      </c>
      <c r="E245" t="s">
        <v>152</v>
      </c>
      <c r="F245" s="4"/>
      <c r="G245" s="7">
        <v>24481520</v>
      </c>
      <c r="H245" s="7">
        <v>24345018</v>
      </c>
      <c r="I245" s="8"/>
      <c r="J245" s="7">
        <v>6122801</v>
      </c>
      <c r="K245" s="7">
        <v>16982634</v>
      </c>
      <c r="L245" s="7">
        <v>1239583</v>
      </c>
      <c r="M245" s="7">
        <v>18222217</v>
      </c>
      <c r="N245" s="8"/>
      <c r="O245" s="7">
        <f t="shared" si="3"/>
        <v>5838396</v>
      </c>
      <c r="P245" s="7">
        <v>17070542</v>
      </c>
      <c r="Q245" s="7">
        <v>1436080</v>
      </c>
      <c r="R245" s="7">
        <v>18506622</v>
      </c>
      <c r="S245" s="9">
        <v>1.1682266983741807E-2</v>
      </c>
      <c r="T245" s="10"/>
    </row>
    <row r="246" spans="1:20" customFormat="1">
      <c r="A246" s="12" t="s">
        <v>255</v>
      </c>
      <c r="B246" t="s">
        <v>702</v>
      </c>
      <c r="C246" t="s">
        <v>158</v>
      </c>
      <c r="D246" t="s">
        <v>126</v>
      </c>
      <c r="E246" t="s">
        <v>152</v>
      </c>
      <c r="F246" s="4"/>
      <c r="G246" s="7">
        <v>16986452</v>
      </c>
      <c r="H246" s="7">
        <v>16889508</v>
      </c>
      <c r="I246" s="8"/>
      <c r="J246" s="7">
        <v>4242652</v>
      </c>
      <c r="K246" s="7">
        <v>11799535</v>
      </c>
      <c r="L246" s="7">
        <v>847321</v>
      </c>
      <c r="M246" s="7">
        <v>12646856</v>
      </c>
      <c r="N246" s="8"/>
      <c r="O246" s="7">
        <f t="shared" si="3"/>
        <v>4037905</v>
      </c>
      <c r="P246" s="7">
        <v>11868064</v>
      </c>
      <c r="Q246" s="7">
        <v>983539</v>
      </c>
      <c r="R246" s="7">
        <v>12851603</v>
      </c>
      <c r="S246" s="9">
        <v>1.2122733237699997E-2</v>
      </c>
      <c r="T246" s="10"/>
    </row>
    <row r="247" spans="1:20" customFormat="1">
      <c r="A247" s="12" t="s">
        <v>83</v>
      </c>
      <c r="B247" t="s">
        <v>703</v>
      </c>
      <c r="C247" t="s">
        <v>155</v>
      </c>
      <c r="D247" t="s">
        <v>128</v>
      </c>
      <c r="E247" t="s">
        <v>151</v>
      </c>
      <c r="F247" s="4"/>
      <c r="G247" s="7">
        <v>13032136</v>
      </c>
      <c r="H247" s="7">
        <v>12986267</v>
      </c>
      <c r="I247" s="8"/>
      <c r="J247" s="7">
        <v>3193966</v>
      </c>
      <c r="K247" s="7">
        <v>9125176</v>
      </c>
      <c r="L247" s="7">
        <v>667125</v>
      </c>
      <c r="M247" s="7">
        <v>9792301</v>
      </c>
      <c r="N247" s="8"/>
      <c r="O247" s="7">
        <f t="shared" si="3"/>
        <v>3039439</v>
      </c>
      <c r="P247" s="7">
        <v>9171789</v>
      </c>
      <c r="Q247" s="7">
        <v>775039</v>
      </c>
      <c r="R247" s="7">
        <v>9946828</v>
      </c>
      <c r="S247" s="9">
        <v>1.1899262505537581E-2</v>
      </c>
      <c r="T247" s="10"/>
    </row>
    <row r="248" spans="1:20" customFormat="1">
      <c r="A248" s="12" t="s">
        <v>60</v>
      </c>
      <c r="B248" t="s">
        <v>806</v>
      </c>
      <c r="C248" t="s">
        <v>158</v>
      </c>
      <c r="D248" t="s">
        <v>126</v>
      </c>
      <c r="E248" t="s">
        <v>151</v>
      </c>
      <c r="F248" s="4"/>
      <c r="G248" s="7">
        <v>14846640</v>
      </c>
      <c r="H248" s="7">
        <v>14719219</v>
      </c>
      <c r="I248" s="8"/>
      <c r="J248" s="7">
        <v>3771060</v>
      </c>
      <c r="K248" s="7">
        <v>10183229</v>
      </c>
      <c r="L248" s="7">
        <v>764930</v>
      </c>
      <c r="M248" s="7">
        <v>10948159</v>
      </c>
      <c r="N248" s="8"/>
      <c r="O248" s="7">
        <f t="shared" si="3"/>
        <v>3604688</v>
      </c>
      <c r="P248" s="7">
        <v>10236384</v>
      </c>
      <c r="Q248" s="7">
        <v>878147</v>
      </c>
      <c r="R248" s="7">
        <v>11114531</v>
      </c>
      <c r="S248" s="9">
        <v>1.1303045358588658E-2</v>
      </c>
      <c r="T248" s="10"/>
    </row>
    <row r="249" spans="1:20" customFormat="1">
      <c r="A249" s="12" t="s">
        <v>477</v>
      </c>
      <c r="B249" t="s">
        <v>872</v>
      </c>
      <c r="C249" t="s">
        <v>156</v>
      </c>
      <c r="D249" t="s">
        <v>128</v>
      </c>
      <c r="E249" t="s">
        <v>151</v>
      </c>
      <c r="F249" s="4"/>
      <c r="G249" s="7">
        <v>12230808</v>
      </c>
      <c r="H249" s="7">
        <v>12176094</v>
      </c>
      <c r="I249" s="8"/>
      <c r="J249" s="7">
        <v>2846164</v>
      </c>
      <c r="K249" s="7">
        <v>8660643</v>
      </c>
      <c r="L249" s="7">
        <v>669287</v>
      </c>
      <c r="M249" s="7">
        <v>9329930</v>
      </c>
      <c r="N249" s="8"/>
      <c r="O249" s="7">
        <f t="shared" si="3"/>
        <v>2701710</v>
      </c>
      <c r="P249" s="7">
        <v>8710620</v>
      </c>
      <c r="Q249" s="7">
        <v>763764</v>
      </c>
      <c r="R249" s="7">
        <v>9474384</v>
      </c>
      <c r="S249" s="9">
        <v>1.1863738896890907E-2</v>
      </c>
      <c r="T249" s="10"/>
    </row>
    <row r="250" spans="1:20" customFormat="1">
      <c r="A250" s="12" t="s">
        <v>334</v>
      </c>
      <c r="B250" t="s">
        <v>952</v>
      </c>
      <c r="C250" t="s">
        <v>123</v>
      </c>
      <c r="D250" t="s">
        <v>128</v>
      </c>
      <c r="E250" t="s">
        <v>152</v>
      </c>
      <c r="F250" s="4"/>
      <c r="G250" s="7">
        <v>17703232</v>
      </c>
      <c r="H250" s="7">
        <v>17652831</v>
      </c>
      <c r="I250" s="8"/>
      <c r="J250" s="7">
        <v>4468334</v>
      </c>
      <c r="K250" s="7">
        <v>12277902</v>
      </c>
      <c r="L250" s="7">
        <v>906595</v>
      </c>
      <c r="M250" s="7">
        <v>13184497</v>
      </c>
      <c r="N250" s="8"/>
      <c r="O250" s="7">
        <f t="shared" si="3"/>
        <v>4268759</v>
      </c>
      <c r="P250" s="7">
        <v>12337823</v>
      </c>
      <c r="Q250" s="7">
        <v>1046249</v>
      </c>
      <c r="R250" s="7">
        <v>13384072</v>
      </c>
      <c r="S250" s="9">
        <v>1.1305552066974414E-2</v>
      </c>
      <c r="T250" s="10"/>
    </row>
    <row r="251" spans="1:20" customFormat="1">
      <c r="A251" s="12" t="s">
        <v>345</v>
      </c>
      <c r="B251" t="s">
        <v>953</v>
      </c>
      <c r="C251" t="s">
        <v>123</v>
      </c>
      <c r="D251" t="s">
        <v>128</v>
      </c>
      <c r="E251" t="s">
        <v>151</v>
      </c>
      <c r="F251" s="4"/>
      <c r="G251" s="7">
        <v>14266154</v>
      </c>
      <c r="H251" s="7">
        <v>14239239</v>
      </c>
      <c r="I251" s="8"/>
      <c r="J251" s="7">
        <v>3863912</v>
      </c>
      <c r="K251" s="7">
        <v>9650200</v>
      </c>
      <c r="L251" s="7">
        <v>725127</v>
      </c>
      <c r="M251" s="7">
        <v>10375327</v>
      </c>
      <c r="N251" s="8"/>
      <c r="O251" s="7">
        <f t="shared" si="3"/>
        <v>3700848</v>
      </c>
      <c r="P251" s="7">
        <v>9706033</v>
      </c>
      <c r="Q251" s="7">
        <v>832358</v>
      </c>
      <c r="R251" s="7">
        <v>10538391</v>
      </c>
      <c r="S251" s="9">
        <v>1.1451735587835838E-2</v>
      </c>
      <c r="T251" s="10"/>
    </row>
    <row r="252" spans="1:20" customFormat="1">
      <c r="A252" s="12" t="s">
        <v>330</v>
      </c>
      <c r="B252" t="s">
        <v>954</v>
      </c>
      <c r="C252" t="s">
        <v>123</v>
      </c>
      <c r="D252" t="s">
        <v>128</v>
      </c>
      <c r="E252" t="s">
        <v>151</v>
      </c>
      <c r="F252" s="4"/>
      <c r="G252" s="7">
        <v>14950216</v>
      </c>
      <c r="H252" s="7">
        <v>14930866</v>
      </c>
      <c r="I252" s="8"/>
      <c r="J252" s="7">
        <v>3667355</v>
      </c>
      <c r="K252" s="7">
        <v>10458317</v>
      </c>
      <c r="L252" s="7">
        <v>805194</v>
      </c>
      <c r="M252" s="7">
        <v>11263511</v>
      </c>
      <c r="N252" s="8"/>
      <c r="O252" s="7">
        <f t="shared" si="3"/>
        <v>3488748</v>
      </c>
      <c r="P252" s="7">
        <v>10519019</v>
      </c>
      <c r="Q252" s="7">
        <v>923099</v>
      </c>
      <c r="R252" s="7">
        <v>11442118</v>
      </c>
      <c r="S252" s="9">
        <v>1.1962266622712976E-2</v>
      </c>
      <c r="T252" s="10"/>
    </row>
    <row r="253" spans="1:20" customFormat="1">
      <c r="A253" s="12" t="s">
        <v>377</v>
      </c>
      <c r="B253" t="s">
        <v>955</v>
      </c>
      <c r="C253" t="s">
        <v>123</v>
      </c>
      <c r="D253" t="s">
        <v>127</v>
      </c>
      <c r="E253" t="s">
        <v>152</v>
      </c>
      <c r="F253" s="4"/>
      <c r="G253" s="7">
        <v>23042754</v>
      </c>
      <c r="H253" s="7">
        <v>22975488</v>
      </c>
      <c r="I253" s="8"/>
      <c r="J253" s="7">
        <v>5865402</v>
      </c>
      <c r="K253" s="7">
        <v>15854284</v>
      </c>
      <c r="L253" s="7">
        <v>1255802</v>
      </c>
      <c r="M253" s="7">
        <v>17110086</v>
      </c>
      <c r="N253" s="8"/>
      <c r="O253" s="7">
        <f t="shared" si="3"/>
        <v>5590938</v>
      </c>
      <c r="P253" s="7">
        <v>15939800</v>
      </c>
      <c r="Q253" s="7">
        <v>1444750</v>
      </c>
      <c r="R253" s="7">
        <v>17384550</v>
      </c>
      <c r="S253" s="9">
        <v>1.1945948656237465E-2</v>
      </c>
      <c r="T253" s="10"/>
    </row>
    <row r="254" spans="1:20" customFormat="1">
      <c r="A254" s="12" t="s">
        <v>294</v>
      </c>
      <c r="B254" t="s">
        <v>956</v>
      </c>
      <c r="C254" t="s">
        <v>122</v>
      </c>
      <c r="D254" t="s">
        <v>127</v>
      </c>
      <c r="E254" t="s">
        <v>152</v>
      </c>
      <c r="F254" s="4"/>
      <c r="G254" s="7">
        <v>21475696</v>
      </c>
      <c r="H254" s="7">
        <v>21389213</v>
      </c>
      <c r="I254" s="8"/>
      <c r="J254" s="7">
        <v>5353173</v>
      </c>
      <c r="K254" s="7">
        <v>14852635</v>
      </c>
      <c r="L254" s="7">
        <v>1183405</v>
      </c>
      <c r="M254" s="7">
        <v>16036040</v>
      </c>
      <c r="N254" s="8"/>
      <c r="O254" s="7">
        <f t="shared" si="3"/>
        <v>5101720</v>
      </c>
      <c r="P254" s="7">
        <v>14935575</v>
      </c>
      <c r="Q254" s="7">
        <v>1351918</v>
      </c>
      <c r="R254" s="7">
        <v>16287493</v>
      </c>
      <c r="S254" s="9">
        <v>1.1756066013275009E-2</v>
      </c>
      <c r="T254" s="10"/>
    </row>
    <row r="255" spans="1:20" customFormat="1">
      <c r="A255" s="12" t="s">
        <v>297</v>
      </c>
      <c r="B255" t="s">
        <v>957</v>
      </c>
      <c r="C255" t="s">
        <v>122</v>
      </c>
      <c r="D255" t="s">
        <v>127</v>
      </c>
      <c r="E255" t="s">
        <v>152</v>
      </c>
      <c r="F255" s="4"/>
      <c r="G255" s="7">
        <v>21341752</v>
      </c>
      <c r="H255" s="7">
        <v>21281878</v>
      </c>
      <c r="I255" s="8"/>
      <c r="J255" s="7">
        <v>5109143</v>
      </c>
      <c r="K255" s="7">
        <v>15023142</v>
      </c>
      <c r="L255" s="7">
        <v>1149593</v>
      </c>
      <c r="M255" s="7">
        <v>16172735</v>
      </c>
      <c r="N255" s="8"/>
      <c r="O255" s="7">
        <f t="shared" si="3"/>
        <v>4884250</v>
      </c>
      <c r="P255" s="7">
        <v>15080981</v>
      </c>
      <c r="Q255" s="7">
        <v>1316647</v>
      </c>
      <c r="R255" s="7">
        <v>16397628</v>
      </c>
      <c r="S255" s="9">
        <v>1.0567347486908815E-2</v>
      </c>
      <c r="T255" s="10"/>
    </row>
    <row r="256" spans="1:20" customFormat="1">
      <c r="A256" s="12" t="s">
        <v>47</v>
      </c>
      <c r="B256" t="s">
        <v>958</v>
      </c>
      <c r="C256" t="s">
        <v>158</v>
      </c>
      <c r="D256" t="s">
        <v>127</v>
      </c>
      <c r="E256" t="s">
        <v>152</v>
      </c>
      <c r="F256" s="4"/>
      <c r="G256" s="7">
        <v>26061104</v>
      </c>
      <c r="H256" s="7">
        <v>25520981</v>
      </c>
      <c r="I256" s="8"/>
      <c r="J256" s="7">
        <v>6972966</v>
      </c>
      <c r="K256" s="7">
        <v>17245415</v>
      </c>
      <c r="L256" s="7">
        <v>1302600</v>
      </c>
      <c r="M256" s="7">
        <v>18548015</v>
      </c>
      <c r="N256" s="8"/>
      <c r="O256" s="7">
        <f t="shared" si="3"/>
        <v>6702447</v>
      </c>
      <c r="P256" s="7">
        <v>17319589</v>
      </c>
      <c r="Q256" s="7">
        <v>1498945</v>
      </c>
      <c r="R256" s="7">
        <v>18818534</v>
      </c>
      <c r="S256" s="9">
        <v>1.0599866831137878E-2</v>
      </c>
      <c r="T256" s="10"/>
    </row>
    <row r="257" spans="1:20" customFormat="1">
      <c r="A257" s="12" t="s">
        <v>282</v>
      </c>
      <c r="B257" t="s">
        <v>959</v>
      </c>
      <c r="C257" t="s">
        <v>122</v>
      </c>
      <c r="D257" t="s">
        <v>127</v>
      </c>
      <c r="E257" t="s">
        <v>151</v>
      </c>
      <c r="F257" s="4"/>
      <c r="G257" s="7">
        <v>14482098</v>
      </c>
      <c r="H257" s="7">
        <v>14438756</v>
      </c>
      <c r="I257" s="8"/>
      <c r="J257" s="7">
        <v>3794195</v>
      </c>
      <c r="K257" s="7">
        <v>9891836</v>
      </c>
      <c r="L257" s="7">
        <v>752725</v>
      </c>
      <c r="M257" s="7">
        <v>10644561</v>
      </c>
      <c r="N257" s="8"/>
      <c r="O257" s="7">
        <f t="shared" si="3"/>
        <v>3641316</v>
      </c>
      <c r="P257" s="7">
        <v>9935551</v>
      </c>
      <c r="Q257" s="7">
        <v>861889</v>
      </c>
      <c r="R257" s="7">
        <v>10797440</v>
      </c>
      <c r="S257" s="9">
        <v>1.0588100526111806E-2</v>
      </c>
      <c r="T257" s="10"/>
    </row>
    <row r="258" spans="1:20" customFormat="1">
      <c r="A258" s="12" t="s">
        <v>285</v>
      </c>
      <c r="B258" t="s">
        <v>960</v>
      </c>
      <c r="C258" t="s">
        <v>122</v>
      </c>
      <c r="D258" t="s">
        <v>127</v>
      </c>
      <c r="E258" t="s">
        <v>152</v>
      </c>
      <c r="F258" s="4"/>
      <c r="G258" s="7">
        <v>31838856</v>
      </c>
      <c r="H258" s="7">
        <v>31678953</v>
      </c>
      <c r="I258" s="8"/>
      <c r="J258" s="7">
        <v>10234394</v>
      </c>
      <c r="K258" s="7">
        <v>19957399</v>
      </c>
      <c r="L258" s="7">
        <v>1487160</v>
      </c>
      <c r="M258" s="7">
        <v>21444559</v>
      </c>
      <c r="N258" s="8"/>
      <c r="O258" s="7">
        <f t="shared" si="3"/>
        <v>9915490</v>
      </c>
      <c r="P258" s="7">
        <v>20045765</v>
      </c>
      <c r="Q258" s="7">
        <v>1717698</v>
      </c>
      <c r="R258" s="7">
        <v>21763463</v>
      </c>
      <c r="S258" s="9">
        <v>1.0066746839770872E-2</v>
      </c>
      <c r="T258" s="10"/>
    </row>
    <row r="259" spans="1:20" customFormat="1">
      <c r="A259" s="12" t="s">
        <v>331</v>
      </c>
      <c r="B259" t="s">
        <v>961</v>
      </c>
      <c r="C259" t="s">
        <v>123</v>
      </c>
      <c r="D259" t="s">
        <v>128</v>
      </c>
      <c r="E259" t="s">
        <v>152</v>
      </c>
      <c r="F259" s="4"/>
      <c r="G259" s="7">
        <v>21646122</v>
      </c>
      <c r="H259" s="7">
        <v>21211685</v>
      </c>
      <c r="I259" s="8"/>
      <c r="J259" s="7">
        <v>6349795</v>
      </c>
      <c r="K259" s="7">
        <v>13732585</v>
      </c>
      <c r="L259" s="7">
        <v>1129305</v>
      </c>
      <c r="M259" s="7">
        <v>14861890</v>
      </c>
      <c r="N259" s="8"/>
      <c r="O259" s="7">
        <f t="shared" si="3"/>
        <v>6132390</v>
      </c>
      <c r="P259" s="7">
        <v>13793313</v>
      </c>
      <c r="Q259" s="7">
        <v>1285982</v>
      </c>
      <c r="R259" s="7">
        <v>15079295</v>
      </c>
      <c r="S259" s="9">
        <v>1.024930362675101E-2</v>
      </c>
      <c r="T259" s="10"/>
    </row>
    <row r="260" spans="1:20" customFormat="1">
      <c r="A260" s="12" t="s">
        <v>21</v>
      </c>
      <c r="B260" t="s">
        <v>962</v>
      </c>
      <c r="C260" t="s">
        <v>157</v>
      </c>
      <c r="D260" t="s">
        <v>128</v>
      </c>
      <c r="E260" t="s">
        <v>151</v>
      </c>
      <c r="F260" s="4"/>
      <c r="G260" s="7">
        <v>12505574</v>
      </c>
      <c r="H260" s="7">
        <v>12468098</v>
      </c>
      <c r="I260" s="8"/>
      <c r="J260" s="7">
        <v>3062306</v>
      </c>
      <c r="K260" s="7">
        <v>8747524</v>
      </c>
      <c r="L260" s="7">
        <v>658268</v>
      </c>
      <c r="M260" s="7">
        <v>9405792</v>
      </c>
      <c r="N260" s="8"/>
      <c r="O260" s="7">
        <f t="shared" ref="O260:O323" si="4">H260-R260</f>
        <v>2918447</v>
      </c>
      <c r="P260" s="7">
        <v>8791638</v>
      </c>
      <c r="Q260" s="7">
        <v>758013</v>
      </c>
      <c r="R260" s="7">
        <v>9549651</v>
      </c>
      <c r="S260" s="9">
        <v>1.1538167248926019E-2</v>
      </c>
      <c r="T260" s="10"/>
    </row>
    <row r="261" spans="1:20" customFormat="1">
      <c r="A261" s="12" t="s">
        <v>381</v>
      </c>
      <c r="B261" t="s">
        <v>950</v>
      </c>
      <c r="C261" t="s">
        <v>123</v>
      </c>
      <c r="D261" t="s">
        <v>127</v>
      </c>
      <c r="E261" t="s">
        <v>152</v>
      </c>
      <c r="F261" s="4"/>
      <c r="G261" s="7">
        <v>24280230</v>
      </c>
      <c r="H261" s="7">
        <v>23506747</v>
      </c>
      <c r="I261" s="8"/>
      <c r="J261" s="7">
        <v>5415270</v>
      </c>
      <c r="K261" s="7">
        <v>16781658</v>
      </c>
      <c r="L261" s="7">
        <v>1309819</v>
      </c>
      <c r="M261" s="7">
        <v>18091477</v>
      </c>
      <c r="N261" s="8"/>
      <c r="O261" s="7">
        <f t="shared" si="4"/>
        <v>5152774</v>
      </c>
      <c r="P261" s="7">
        <v>16851088</v>
      </c>
      <c r="Q261" s="7">
        <v>1502885</v>
      </c>
      <c r="R261" s="7">
        <v>18353973</v>
      </c>
      <c r="S261" s="9">
        <v>1.1166836483159494E-2</v>
      </c>
      <c r="T261" s="10"/>
    </row>
    <row r="262" spans="1:20" customFormat="1">
      <c r="A262" s="12" t="s">
        <v>337</v>
      </c>
      <c r="B262" t="s">
        <v>951</v>
      </c>
      <c r="C262" t="s">
        <v>123</v>
      </c>
      <c r="D262" t="s">
        <v>128</v>
      </c>
      <c r="E262" t="s">
        <v>152</v>
      </c>
      <c r="F262" s="4"/>
      <c r="G262" s="7">
        <v>22170670</v>
      </c>
      <c r="H262" s="7">
        <v>21561635</v>
      </c>
      <c r="I262" s="8"/>
      <c r="J262" s="7">
        <v>5217764</v>
      </c>
      <c r="K262" s="7">
        <v>15122912</v>
      </c>
      <c r="L262" s="7">
        <v>1220959</v>
      </c>
      <c r="M262" s="7">
        <v>16343871</v>
      </c>
      <c r="N262" s="8"/>
      <c r="O262" s="7">
        <f t="shared" si="4"/>
        <v>4954838</v>
      </c>
      <c r="P262" s="7">
        <v>15206978</v>
      </c>
      <c r="Q262" s="7">
        <v>1399819</v>
      </c>
      <c r="R262" s="7">
        <v>16606797</v>
      </c>
      <c r="S262" s="9">
        <v>1.2194158745382714E-2</v>
      </c>
      <c r="T262" s="10"/>
    </row>
    <row r="263" spans="1:20" customFormat="1">
      <c r="A263" s="12" t="s">
        <v>347</v>
      </c>
      <c r="B263" t="s">
        <v>665</v>
      </c>
      <c r="C263" t="s">
        <v>123</v>
      </c>
      <c r="D263" t="s">
        <v>126</v>
      </c>
      <c r="E263" t="s">
        <v>151</v>
      </c>
      <c r="F263" s="4"/>
      <c r="G263" s="7">
        <v>12221778</v>
      </c>
      <c r="H263" s="7">
        <v>11884986</v>
      </c>
      <c r="I263" s="8"/>
      <c r="J263" s="7">
        <v>3308840</v>
      </c>
      <c r="K263" s="7">
        <v>7996106</v>
      </c>
      <c r="L263" s="7">
        <v>580040</v>
      </c>
      <c r="M263" s="7">
        <v>8576146</v>
      </c>
      <c r="N263" s="8"/>
      <c r="O263" s="7">
        <f t="shared" si="4"/>
        <v>3172574</v>
      </c>
      <c r="P263" s="7">
        <v>8040537</v>
      </c>
      <c r="Q263" s="7">
        <v>671875</v>
      </c>
      <c r="R263" s="7">
        <v>8712412</v>
      </c>
      <c r="S263" s="9">
        <v>1.1465390030749721E-2</v>
      </c>
      <c r="T263" s="10"/>
    </row>
    <row r="264" spans="1:20" customFormat="1">
      <c r="A264" s="12" t="s">
        <v>456</v>
      </c>
      <c r="B264" t="s">
        <v>901</v>
      </c>
      <c r="C264" t="s">
        <v>157</v>
      </c>
      <c r="D264" t="s">
        <v>127</v>
      </c>
      <c r="E264" t="s">
        <v>152</v>
      </c>
      <c r="F264" s="4"/>
      <c r="G264" s="7">
        <v>25397778</v>
      </c>
      <c r="H264" s="7">
        <v>24816100</v>
      </c>
      <c r="I264" s="8"/>
      <c r="J264" s="7">
        <v>6747084</v>
      </c>
      <c r="K264" s="7">
        <v>16819894</v>
      </c>
      <c r="L264" s="7">
        <v>1249122</v>
      </c>
      <c r="M264" s="7">
        <v>18069016</v>
      </c>
      <c r="N264" s="8"/>
      <c r="O264" s="7">
        <f t="shared" si="4"/>
        <v>6457385</v>
      </c>
      <c r="P264" s="7">
        <v>16908336</v>
      </c>
      <c r="Q264" s="7">
        <v>1450379</v>
      </c>
      <c r="R264" s="7">
        <v>18358715</v>
      </c>
      <c r="S264" s="9">
        <v>1.1673832713440064E-2</v>
      </c>
      <c r="T264" s="10"/>
    </row>
    <row r="265" spans="1:20" customFormat="1">
      <c r="A265" s="12" t="s">
        <v>368</v>
      </c>
      <c r="B265" t="s">
        <v>903</v>
      </c>
      <c r="C265" t="s">
        <v>123</v>
      </c>
      <c r="D265" t="s">
        <v>127</v>
      </c>
      <c r="E265" t="s">
        <v>152</v>
      </c>
      <c r="F265" s="4"/>
      <c r="G265" s="7">
        <v>27783034</v>
      </c>
      <c r="H265" s="7">
        <v>27444647</v>
      </c>
      <c r="I265" s="8"/>
      <c r="J265" s="7">
        <v>7135908</v>
      </c>
      <c r="K265" s="7">
        <v>18979621</v>
      </c>
      <c r="L265" s="7">
        <v>1329118</v>
      </c>
      <c r="M265" s="7">
        <v>20308739</v>
      </c>
      <c r="N265" s="8"/>
      <c r="O265" s="7">
        <f t="shared" si="4"/>
        <v>6813456</v>
      </c>
      <c r="P265" s="7">
        <v>19063055</v>
      </c>
      <c r="Q265" s="7">
        <v>1568136</v>
      </c>
      <c r="R265" s="7">
        <v>20631191</v>
      </c>
      <c r="S265" s="9">
        <v>1.1749176442313141E-2</v>
      </c>
      <c r="T265" s="10"/>
    </row>
    <row r="266" spans="1:20" customFormat="1">
      <c r="A266" s="12" t="s">
        <v>271</v>
      </c>
      <c r="B266" t="s">
        <v>904</v>
      </c>
      <c r="C266" t="s">
        <v>158</v>
      </c>
      <c r="D266" t="s">
        <v>126</v>
      </c>
      <c r="E266" t="s">
        <v>152</v>
      </c>
      <c r="F266" s="4"/>
      <c r="G266" s="7">
        <v>18553702</v>
      </c>
      <c r="H266" s="7">
        <v>18478837</v>
      </c>
      <c r="I266" s="8"/>
      <c r="J266" s="7">
        <v>5950871</v>
      </c>
      <c r="K266" s="7">
        <v>11627028</v>
      </c>
      <c r="L266" s="7">
        <v>900938</v>
      </c>
      <c r="M266" s="7">
        <v>12527966</v>
      </c>
      <c r="N266" s="8"/>
      <c r="O266" s="7">
        <f t="shared" si="4"/>
        <v>5755372</v>
      </c>
      <c r="P266" s="7">
        <v>11689374</v>
      </c>
      <c r="Q266" s="7">
        <v>1034091</v>
      </c>
      <c r="R266" s="7">
        <v>12723465</v>
      </c>
      <c r="S266" s="9">
        <v>1.0579616022371971E-2</v>
      </c>
      <c r="T266" s="10"/>
    </row>
    <row r="267" spans="1:20" customFormat="1">
      <c r="A267" s="12" t="s">
        <v>33</v>
      </c>
      <c r="B267" t="s">
        <v>920</v>
      </c>
      <c r="C267" t="s">
        <v>157</v>
      </c>
      <c r="D267" t="s">
        <v>126</v>
      </c>
      <c r="E267" t="s">
        <v>152</v>
      </c>
      <c r="F267" s="4"/>
      <c r="G267" s="7">
        <v>19692202</v>
      </c>
      <c r="H267" s="7">
        <v>19580510</v>
      </c>
      <c r="I267" s="8"/>
      <c r="J267" s="7">
        <v>4623536</v>
      </c>
      <c r="K267" s="7">
        <v>13872632</v>
      </c>
      <c r="L267" s="7">
        <v>1084342</v>
      </c>
      <c r="M267" s="7">
        <v>14956974</v>
      </c>
      <c r="N267" s="8"/>
      <c r="O267" s="7">
        <f t="shared" si="4"/>
        <v>4392559</v>
      </c>
      <c r="P267" s="7">
        <v>13947880</v>
      </c>
      <c r="Q267" s="7">
        <v>1240071</v>
      </c>
      <c r="R267" s="7">
        <v>15187951</v>
      </c>
      <c r="S267" s="9">
        <v>1.1796270883649098E-2</v>
      </c>
      <c r="T267" s="10"/>
    </row>
    <row r="268" spans="1:20" customFormat="1">
      <c r="A268" s="12" t="s">
        <v>293</v>
      </c>
      <c r="B268" t="s">
        <v>945</v>
      </c>
      <c r="C268" t="s">
        <v>122</v>
      </c>
      <c r="D268" t="s">
        <v>126</v>
      </c>
      <c r="E268" t="s">
        <v>151</v>
      </c>
      <c r="F268" s="4"/>
      <c r="G268" s="7">
        <v>11142998</v>
      </c>
      <c r="H268" s="7">
        <v>11101502</v>
      </c>
      <c r="I268" s="8"/>
      <c r="J268" s="7">
        <v>2713181</v>
      </c>
      <c r="K268" s="7">
        <v>7791428</v>
      </c>
      <c r="L268" s="7">
        <v>596893</v>
      </c>
      <c r="M268" s="7">
        <v>8388321</v>
      </c>
      <c r="N268" s="8"/>
      <c r="O268" s="7">
        <f t="shared" si="4"/>
        <v>2587396</v>
      </c>
      <c r="P268" s="7">
        <v>7829597</v>
      </c>
      <c r="Q268" s="7">
        <v>684509</v>
      </c>
      <c r="R268" s="7">
        <v>8514106</v>
      </c>
      <c r="S268" s="9">
        <v>1.1330448798730118E-2</v>
      </c>
      <c r="T268" s="10"/>
    </row>
    <row r="269" spans="1:20" customFormat="1">
      <c r="A269" s="12" t="s">
        <v>251</v>
      </c>
      <c r="B269" t="s">
        <v>946</v>
      </c>
      <c r="C269" t="s">
        <v>158</v>
      </c>
      <c r="D269" t="s">
        <v>126</v>
      </c>
      <c r="E269" t="s">
        <v>152</v>
      </c>
      <c r="F269" s="4"/>
      <c r="G269" s="7">
        <v>20290596</v>
      </c>
      <c r="H269" s="7">
        <v>20208714</v>
      </c>
      <c r="I269" s="8"/>
      <c r="J269" s="7">
        <v>5228082</v>
      </c>
      <c r="K269" s="7">
        <v>13914948</v>
      </c>
      <c r="L269" s="7">
        <v>1065684</v>
      </c>
      <c r="M269" s="7">
        <v>14980632</v>
      </c>
      <c r="N269" s="8"/>
      <c r="O269" s="7">
        <f t="shared" si="4"/>
        <v>4995001</v>
      </c>
      <c r="P269" s="7">
        <v>13987169</v>
      </c>
      <c r="Q269" s="7">
        <v>1226544</v>
      </c>
      <c r="R269" s="7">
        <v>15213713</v>
      </c>
      <c r="S269" s="9">
        <v>1.1533687893252386E-2</v>
      </c>
      <c r="T269" s="10"/>
    </row>
    <row r="270" spans="1:20" customFormat="1">
      <c r="A270" s="12" t="s">
        <v>40</v>
      </c>
      <c r="B270" t="s">
        <v>943</v>
      </c>
      <c r="C270" t="s">
        <v>157</v>
      </c>
      <c r="D270" t="s">
        <v>126</v>
      </c>
      <c r="E270" t="s">
        <v>152</v>
      </c>
      <c r="F270" s="4"/>
      <c r="G270" s="7">
        <v>23182824</v>
      </c>
      <c r="H270" s="7">
        <v>22741529</v>
      </c>
      <c r="I270" s="8"/>
      <c r="J270" s="7">
        <v>5731347</v>
      </c>
      <c r="K270" s="7">
        <v>15777649</v>
      </c>
      <c r="L270" s="7">
        <v>1232533</v>
      </c>
      <c r="M270" s="7">
        <v>17010182</v>
      </c>
      <c r="N270" s="8"/>
      <c r="O270" s="7">
        <f t="shared" si="4"/>
        <v>5485174</v>
      </c>
      <c r="P270" s="7">
        <v>15852834</v>
      </c>
      <c r="Q270" s="7">
        <v>1403521</v>
      </c>
      <c r="R270" s="7">
        <v>17256355</v>
      </c>
      <c r="S270" s="9">
        <v>1.0824821849049815E-2</v>
      </c>
      <c r="T270" s="10"/>
    </row>
    <row r="271" spans="1:20" customFormat="1">
      <c r="A271" s="12" t="s">
        <v>51</v>
      </c>
      <c r="B271" t="s">
        <v>944</v>
      </c>
      <c r="C271" t="s">
        <v>158</v>
      </c>
      <c r="D271" t="s">
        <v>126</v>
      </c>
      <c r="E271" t="s">
        <v>152</v>
      </c>
      <c r="F271" s="4"/>
      <c r="G271" s="7">
        <v>16378010</v>
      </c>
      <c r="H271" s="7">
        <v>15918738</v>
      </c>
      <c r="I271" s="8"/>
      <c r="J271" s="7">
        <v>4511904</v>
      </c>
      <c r="K271" s="7">
        <v>10607774</v>
      </c>
      <c r="L271" s="7">
        <v>799060</v>
      </c>
      <c r="M271" s="7">
        <v>11406834</v>
      </c>
      <c r="N271" s="8"/>
      <c r="O271" s="7">
        <f t="shared" si="4"/>
        <v>4339449</v>
      </c>
      <c r="P271" s="7">
        <v>10663483</v>
      </c>
      <c r="Q271" s="7">
        <v>915806</v>
      </c>
      <c r="R271" s="7">
        <v>11579289</v>
      </c>
      <c r="S271" s="9">
        <v>1.083345928552879E-2</v>
      </c>
      <c r="T271" s="10"/>
    </row>
    <row r="272" spans="1:20" customFormat="1">
      <c r="A272" s="12" t="s">
        <v>104</v>
      </c>
      <c r="C272" t="s">
        <v>155</v>
      </c>
      <c r="D272" t="s">
        <v>128</v>
      </c>
      <c r="E272" t="s">
        <v>152</v>
      </c>
      <c r="F272" s="4"/>
      <c r="G272" s="7">
        <v>20156144</v>
      </c>
      <c r="H272" s="7">
        <v>19437487</v>
      </c>
      <c r="I272" s="8"/>
      <c r="J272" s="7">
        <v>4866169</v>
      </c>
      <c r="K272" s="7">
        <v>13516084</v>
      </c>
      <c r="L272" s="7">
        <v>1055234</v>
      </c>
      <c r="M272" s="7">
        <v>14571318</v>
      </c>
      <c r="N272" s="8"/>
      <c r="O272" s="7">
        <f t="shared" si="4"/>
        <v>4637756</v>
      </c>
      <c r="P272" s="7">
        <v>13588382</v>
      </c>
      <c r="Q272" s="7">
        <v>1211349</v>
      </c>
      <c r="R272" s="7">
        <v>14799731</v>
      </c>
      <c r="S272" s="9">
        <v>1.175115898469797E-2</v>
      </c>
      <c r="T272" s="10"/>
    </row>
    <row r="273" spans="1:20" customFormat="1">
      <c r="A273" s="12" t="s">
        <v>389</v>
      </c>
      <c r="C273" t="s">
        <v>156</v>
      </c>
      <c r="D273" t="s">
        <v>128</v>
      </c>
      <c r="E273" t="s">
        <v>152</v>
      </c>
      <c r="F273" s="4"/>
      <c r="G273" s="7">
        <v>24218378</v>
      </c>
      <c r="H273" s="7">
        <v>23896261</v>
      </c>
      <c r="I273" s="8"/>
      <c r="J273" s="7">
        <v>4628771</v>
      </c>
      <c r="K273" s="7">
        <v>17925184</v>
      </c>
      <c r="L273" s="7">
        <v>1342306</v>
      </c>
      <c r="M273" s="7">
        <v>19267490</v>
      </c>
      <c r="N273" s="8"/>
      <c r="O273" s="7">
        <f t="shared" si="4"/>
        <v>4393204</v>
      </c>
      <c r="P273" s="7">
        <v>17982471</v>
      </c>
      <c r="Q273" s="7">
        <v>1520586</v>
      </c>
      <c r="R273" s="7">
        <v>19503057</v>
      </c>
      <c r="S273" s="9">
        <v>9.8579020374777466E-3</v>
      </c>
      <c r="T273" s="10"/>
    </row>
    <row r="274" spans="1:20" customFormat="1">
      <c r="A274" s="12">
        <v>4226</v>
      </c>
      <c r="B274" t="s">
        <v>529</v>
      </c>
      <c r="C274" t="s">
        <v>156</v>
      </c>
      <c r="D274" t="s">
        <v>126</v>
      </c>
      <c r="E274" t="s">
        <v>152</v>
      </c>
      <c r="F274" s="4"/>
      <c r="G274" s="7">
        <v>24722102</v>
      </c>
      <c r="H274" s="7">
        <v>24363429</v>
      </c>
      <c r="I274" s="8"/>
      <c r="J274" s="7">
        <v>5873855</v>
      </c>
      <c r="K274" s="7">
        <v>17190083</v>
      </c>
      <c r="L274" s="7">
        <v>1299491</v>
      </c>
      <c r="M274" s="7">
        <v>18489574</v>
      </c>
      <c r="N274" s="8"/>
      <c r="O274" s="7">
        <f t="shared" si="4"/>
        <v>5575197</v>
      </c>
      <c r="P274" s="7">
        <v>17295726</v>
      </c>
      <c r="Q274" s="7">
        <v>1492506</v>
      </c>
      <c r="R274" s="7">
        <v>18788232</v>
      </c>
      <c r="S274" s="9">
        <v>1.2258455080358352E-2</v>
      </c>
      <c r="T274" s="10"/>
    </row>
    <row r="275" spans="1:20" customFormat="1">
      <c r="A275" s="12">
        <v>52220</v>
      </c>
      <c r="B275" t="s">
        <v>531</v>
      </c>
      <c r="C275" t="s">
        <v>122</v>
      </c>
      <c r="D275" t="s">
        <v>128</v>
      </c>
      <c r="E275" t="s">
        <v>151</v>
      </c>
      <c r="F275" s="4"/>
      <c r="G275" s="7">
        <v>11145248</v>
      </c>
      <c r="H275" s="7">
        <v>11114819</v>
      </c>
      <c r="I275" s="8"/>
      <c r="J275" s="7">
        <v>3218276</v>
      </c>
      <c r="K275" s="7">
        <v>7341928</v>
      </c>
      <c r="L275" s="7">
        <v>554615</v>
      </c>
      <c r="M275" s="7">
        <v>7896543</v>
      </c>
      <c r="N275" s="8"/>
      <c r="O275" s="7">
        <f t="shared" si="4"/>
        <v>3092313</v>
      </c>
      <c r="P275" s="7">
        <v>7383543</v>
      </c>
      <c r="Q275" s="7">
        <v>638963</v>
      </c>
      <c r="R275" s="7">
        <v>8022506</v>
      </c>
      <c r="S275" s="9">
        <v>1.1332888101911512E-2</v>
      </c>
      <c r="T275" s="10"/>
    </row>
    <row r="276" spans="1:20" customFormat="1">
      <c r="A276" s="12" t="s">
        <v>314</v>
      </c>
      <c r="C276" t="s">
        <v>122</v>
      </c>
      <c r="D276" t="s">
        <v>128</v>
      </c>
      <c r="E276" t="s">
        <v>152</v>
      </c>
      <c r="F276" s="4"/>
      <c r="G276" s="7">
        <v>24005464</v>
      </c>
      <c r="H276" s="7">
        <v>23613269</v>
      </c>
      <c r="I276" s="8"/>
      <c r="J276" s="7">
        <v>5945236</v>
      </c>
      <c r="K276" s="7">
        <v>16395203</v>
      </c>
      <c r="L276" s="7">
        <v>1272830</v>
      </c>
      <c r="M276" s="7">
        <v>17668033</v>
      </c>
      <c r="N276" s="8"/>
      <c r="O276" s="7">
        <f t="shared" si="4"/>
        <v>5669985</v>
      </c>
      <c r="P276" s="7">
        <v>16485660</v>
      </c>
      <c r="Q276" s="7">
        <v>1457624</v>
      </c>
      <c r="R276" s="7">
        <v>17943284</v>
      </c>
      <c r="S276" s="9">
        <v>1.1656624078605973E-2</v>
      </c>
      <c r="T276" s="10"/>
    </row>
    <row r="277" spans="1:20" customFormat="1">
      <c r="A277" s="12" t="s">
        <v>228</v>
      </c>
      <c r="B277" t="s">
        <v>532</v>
      </c>
      <c r="C277" t="s">
        <v>123</v>
      </c>
      <c r="D277" t="s">
        <v>126</v>
      </c>
      <c r="E277" t="s">
        <v>152</v>
      </c>
      <c r="F277" s="4"/>
      <c r="G277" s="7">
        <v>32795188</v>
      </c>
      <c r="H277" s="7">
        <v>32188138</v>
      </c>
      <c r="I277" s="8"/>
      <c r="J277" s="7">
        <v>7462087</v>
      </c>
      <c r="K277" s="7">
        <v>23025469</v>
      </c>
      <c r="L277" s="7">
        <v>1700582</v>
      </c>
      <c r="M277" s="7">
        <v>24726051</v>
      </c>
      <c r="N277" s="8"/>
      <c r="O277" s="7">
        <f t="shared" si="4"/>
        <v>7066909</v>
      </c>
      <c r="P277" s="7">
        <v>23155139</v>
      </c>
      <c r="Q277" s="7">
        <v>1966090</v>
      </c>
      <c r="R277" s="7">
        <v>25121229</v>
      </c>
      <c r="S277" s="9">
        <v>1.2277131407849686E-2</v>
      </c>
      <c r="T277" s="10"/>
    </row>
    <row r="278" spans="1:20" customFormat="1">
      <c r="A278" s="12" t="s">
        <v>433</v>
      </c>
      <c r="B278" t="s">
        <v>533</v>
      </c>
      <c r="C278" t="s">
        <v>156</v>
      </c>
      <c r="D278" t="s">
        <v>126</v>
      </c>
      <c r="E278" t="s">
        <v>152</v>
      </c>
      <c r="F278" s="4"/>
      <c r="G278" s="7">
        <v>28299606</v>
      </c>
      <c r="H278" s="7">
        <v>28137638</v>
      </c>
      <c r="I278" s="8"/>
      <c r="J278" s="7">
        <v>6175098</v>
      </c>
      <c r="K278" s="7">
        <v>20409649</v>
      </c>
      <c r="L278" s="7">
        <v>1552891</v>
      </c>
      <c r="M278" s="7">
        <v>21962540</v>
      </c>
      <c r="N278" s="8"/>
      <c r="O278" s="7">
        <f t="shared" si="4"/>
        <v>5832415</v>
      </c>
      <c r="P278" s="7">
        <v>20532124</v>
      </c>
      <c r="Q278" s="7">
        <v>1773099</v>
      </c>
      <c r="R278" s="7">
        <v>22305223</v>
      </c>
      <c r="S278" s="9">
        <v>1.2178811881793348E-2</v>
      </c>
      <c r="T278" s="10"/>
    </row>
    <row r="279" spans="1:20" customFormat="1">
      <c r="A279" s="12" t="s">
        <v>478</v>
      </c>
      <c r="B279" t="s">
        <v>534</v>
      </c>
      <c r="C279" t="s">
        <v>123</v>
      </c>
      <c r="D279" t="s">
        <v>128</v>
      </c>
      <c r="E279" t="s">
        <v>152</v>
      </c>
      <c r="F279" s="4"/>
      <c r="G279" s="7">
        <v>23128692</v>
      </c>
      <c r="H279" s="7">
        <v>22813270</v>
      </c>
      <c r="I279" s="8"/>
      <c r="J279" s="7">
        <v>5452780</v>
      </c>
      <c r="K279" s="7">
        <v>16121043</v>
      </c>
      <c r="L279" s="7">
        <v>1239447</v>
      </c>
      <c r="M279" s="7">
        <v>17360490</v>
      </c>
      <c r="N279" s="8"/>
      <c r="O279" s="7">
        <f t="shared" si="4"/>
        <v>5169237</v>
      </c>
      <c r="P279" s="7">
        <v>16213133</v>
      </c>
      <c r="Q279" s="7">
        <v>1430900</v>
      </c>
      <c r="R279" s="7">
        <v>17644033</v>
      </c>
      <c r="S279" s="9">
        <v>1.2428862675100939E-2</v>
      </c>
      <c r="T279" s="10"/>
    </row>
    <row r="280" spans="1:20" customFormat="1">
      <c r="A280" s="12" t="s">
        <v>479</v>
      </c>
      <c r="B280" t="s">
        <v>535</v>
      </c>
      <c r="C280" t="s">
        <v>157</v>
      </c>
      <c r="D280" t="s">
        <v>128</v>
      </c>
      <c r="E280" t="s">
        <v>152</v>
      </c>
      <c r="F280" s="4"/>
      <c r="G280" s="7">
        <v>16592482</v>
      </c>
      <c r="H280" s="7">
        <v>16543394</v>
      </c>
      <c r="I280" s="8"/>
      <c r="J280" s="7">
        <v>6453919</v>
      </c>
      <c r="K280" s="7">
        <v>9372693</v>
      </c>
      <c r="L280" s="7">
        <v>716782</v>
      </c>
      <c r="M280" s="7">
        <v>10089475</v>
      </c>
      <c r="N280" s="8"/>
      <c r="O280" s="7">
        <f t="shared" si="4"/>
        <v>6290738</v>
      </c>
      <c r="P280" s="7">
        <v>9424640</v>
      </c>
      <c r="Q280" s="7">
        <v>828016</v>
      </c>
      <c r="R280" s="7">
        <v>10252656</v>
      </c>
      <c r="S280" s="9">
        <v>9.8638163365993708E-3</v>
      </c>
      <c r="T280" s="10"/>
    </row>
    <row r="281" spans="1:20" customFormat="1">
      <c r="A281" s="12" t="s">
        <v>480</v>
      </c>
      <c r="B281" s="5" t="s">
        <v>974</v>
      </c>
      <c r="C281" t="s">
        <v>123</v>
      </c>
      <c r="D281" t="s">
        <v>128</v>
      </c>
      <c r="E281" t="s">
        <v>152</v>
      </c>
      <c r="F281" s="4"/>
      <c r="G281" s="7">
        <v>24032968</v>
      </c>
      <c r="H281" s="7">
        <v>23960401</v>
      </c>
      <c r="I281" s="8"/>
      <c r="J281" s="7">
        <v>5548484</v>
      </c>
      <c r="K281" s="7">
        <v>17040615</v>
      </c>
      <c r="L281" s="7">
        <v>1371302</v>
      </c>
      <c r="M281" s="7">
        <v>18411917</v>
      </c>
      <c r="N281" s="8"/>
      <c r="O281" s="7">
        <f t="shared" si="4"/>
        <v>5273559</v>
      </c>
      <c r="P281" s="7">
        <v>17120512</v>
      </c>
      <c r="Q281" s="7">
        <v>1566330</v>
      </c>
      <c r="R281" s="7">
        <v>18686842</v>
      </c>
      <c r="S281" s="9">
        <v>1.1474140186551969E-2</v>
      </c>
      <c r="T281" s="10"/>
    </row>
    <row r="282" spans="1:20" customFormat="1">
      <c r="A282" s="12" t="s">
        <v>370</v>
      </c>
      <c r="B282" t="s">
        <v>537</v>
      </c>
      <c r="C282" t="s">
        <v>123</v>
      </c>
      <c r="D282" t="s">
        <v>128</v>
      </c>
      <c r="E282" t="s">
        <v>152</v>
      </c>
      <c r="F282" s="4"/>
      <c r="G282" s="7">
        <v>20531496</v>
      </c>
      <c r="H282" s="7">
        <v>20477863</v>
      </c>
      <c r="I282" s="8"/>
      <c r="J282" s="7">
        <v>5777735</v>
      </c>
      <c r="K282" s="7">
        <v>13712946</v>
      </c>
      <c r="L282" s="7">
        <v>987182</v>
      </c>
      <c r="M282" s="7">
        <v>14700128</v>
      </c>
      <c r="N282" s="8"/>
      <c r="O282" s="7">
        <f t="shared" si="4"/>
        <v>5541659</v>
      </c>
      <c r="P282" s="7">
        <v>13783523</v>
      </c>
      <c r="Q282" s="7">
        <v>1152681</v>
      </c>
      <c r="R282" s="7">
        <v>14936204</v>
      </c>
      <c r="S282" s="9">
        <v>1.1528351371429725E-2</v>
      </c>
      <c r="T282" s="10"/>
    </row>
    <row r="283" spans="1:20" customFormat="1">
      <c r="A283" s="12" t="s">
        <v>362</v>
      </c>
      <c r="B283" t="s">
        <v>541</v>
      </c>
      <c r="C283" t="s">
        <v>123</v>
      </c>
      <c r="D283" t="s">
        <v>128</v>
      </c>
      <c r="E283" t="s">
        <v>152</v>
      </c>
      <c r="F283" s="4"/>
      <c r="G283" s="7">
        <v>18723284</v>
      </c>
      <c r="H283" s="7">
        <v>18669204</v>
      </c>
      <c r="I283" s="8"/>
      <c r="J283" s="7">
        <v>4359563</v>
      </c>
      <c r="K283" s="7">
        <v>13321045</v>
      </c>
      <c r="L283" s="7">
        <v>988596</v>
      </c>
      <c r="M283" s="7">
        <v>14309641</v>
      </c>
      <c r="N283" s="8"/>
      <c r="O283" s="7">
        <f t="shared" si="4"/>
        <v>4138408</v>
      </c>
      <c r="P283" s="7">
        <v>13390801</v>
      </c>
      <c r="Q283" s="7">
        <v>1139995</v>
      </c>
      <c r="R283" s="7">
        <v>14530796</v>
      </c>
      <c r="S283" s="9">
        <v>1.1845979078700945E-2</v>
      </c>
      <c r="T283" s="10"/>
    </row>
    <row r="284" spans="1:20" customFormat="1">
      <c r="A284" s="12" t="s">
        <v>374</v>
      </c>
      <c r="B284" t="s">
        <v>542</v>
      </c>
      <c r="C284" t="s">
        <v>123</v>
      </c>
      <c r="D284" t="s">
        <v>128</v>
      </c>
      <c r="E284" t="s">
        <v>151</v>
      </c>
      <c r="F284" s="4"/>
      <c r="G284" s="7">
        <v>16107794</v>
      </c>
      <c r="H284" s="7">
        <v>16086687</v>
      </c>
      <c r="I284" s="8"/>
      <c r="J284" s="7">
        <v>3987097</v>
      </c>
      <c r="K284" s="7">
        <v>11241139</v>
      </c>
      <c r="L284" s="7">
        <v>858451</v>
      </c>
      <c r="M284" s="7">
        <v>12099590</v>
      </c>
      <c r="N284" s="8"/>
      <c r="O284" s="7">
        <f t="shared" si="4"/>
        <v>3802921</v>
      </c>
      <c r="P284" s="7">
        <v>11296636</v>
      </c>
      <c r="Q284" s="7">
        <v>987130</v>
      </c>
      <c r="R284" s="7">
        <v>12283766</v>
      </c>
      <c r="S284" s="9">
        <v>1.144897019504389E-2</v>
      </c>
      <c r="T284" s="10"/>
    </row>
    <row r="285" spans="1:20" customFormat="1">
      <c r="A285" s="12" t="s">
        <v>432</v>
      </c>
      <c r="B285" t="s">
        <v>543</v>
      </c>
      <c r="C285" t="s">
        <v>156</v>
      </c>
      <c r="D285" t="s">
        <v>126</v>
      </c>
      <c r="E285" t="s">
        <v>152</v>
      </c>
      <c r="F285" s="4"/>
      <c r="G285" s="7">
        <v>37129290</v>
      </c>
      <c r="H285" s="7">
        <v>36987477</v>
      </c>
      <c r="I285" s="8"/>
      <c r="J285" s="7">
        <v>8340323</v>
      </c>
      <c r="K285" s="7">
        <v>26704379</v>
      </c>
      <c r="L285" s="7">
        <v>1942775</v>
      </c>
      <c r="M285" s="7">
        <v>28647154</v>
      </c>
      <c r="N285" s="8"/>
      <c r="O285" s="7">
        <f t="shared" si="4"/>
        <v>7864102</v>
      </c>
      <c r="P285" s="7">
        <v>26871534</v>
      </c>
      <c r="Q285" s="7">
        <v>2251841</v>
      </c>
      <c r="R285" s="7">
        <v>29123375</v>
      </c>
      <c r="S285" s="9">
        <v>1.2875195569570749E-2</v>
      </c>
      <c r="T285" s="10"/>
    </row>
    <row r="286" spans="1:20" customFormat="1">
      <c r="A286" s="12" t="s">
        <v>257</v>
      </c>
      <c r="B286" t="s">
        <v>544</v>
      </c>
      <c r="C286" t="s">
        <v>158</v>
      </c>
      <c r="D286" t="s">
        <v>128</v>
      </c>
      <c r="E286" t="s">
        <v>152</v>
      </c>
      <c r="F286" s="4"/>
      <c r="G286" s="7">
        <v>28903930</v>
      </c>
      <c r="H286" s="7">
        <v>28787440</v>
      </c>
      <c r="I286" s="8"/>
      <c r="J286" s="7">
        <v>6828936</v>
      </c>
      <c r="K286" s="7">
        <v>20444794</v>
      </c>
      <c r="L286" s="7">
        <v>1513710</v>
      </c>
      <c r="M286" s="7">
        <v>21958504</v>
      </c>
      <c r="N286" s="8"/>
      <c r="O286" s="7">
        <f t="shared" si="4"/>
        <v>6506942</v>
      </c>
      <c r="P286" s="7">
        <v>20531031</v>
      </c>
      <c r="Q286" s="7">
        <v>1749467</v>
      </c>
      <c r="R286" s="7">
        <v>22280498</v>
      </c>
      <c r="S286" s="9">
        <v>1.118522522322235E-2</v>
      </c>
      <c r="T286" s="10"/>
    </row>
    <row r="287" spans="1:20" customFormat="1">
      <c r="A287" s="12" t="s">
        <v>22</v>
      </c>
      <c r="B287" t="s">
        <v>545</v>
      </c>
      <c r="C287" t="s">
        <v>157</v>
      </c>
      <c r="D287" t="s">
        <v>126</v>
      </c>
      <c r="E287" t="s">
        <v>151</v>
      </c>
      <c r="F287" s="4"/>
      <c r="G287" s="7">
        <v>12738974</v>
      </c>
      <c r="H287" s="7">
        <v>12515143</v>
      </c>
      <c r="I287" s="8"/>
      <c r="J287" s="7">
        <v>2955549</v>
      </c>
      <c r="K287" s="7">
        <v>8888622</v>
      </c>
      <c r="L287" s="7">
        <v>670972</v>
      </c>
      <c r="M287" s="7">
        <v>9559594</v>
      </c>
      <c r="N287" s="8"/>
      <c r="O287" s="7">
        <f t="shared" si="4"/>
        <v>2801261</v>
      </c>
      <c r="P287" s="7">
        <v>8938835</v>
      </c>
      <c r="Q287" s="7">
        <v>775047</v>
      </c>
      <c r="R287" s="7">
        <v>9713882</v>
      </c>
      <c r="S287" s="9">
        <v>1.2328105240187827E-2</v>
      </c>
      <c r="T287" s="10"/>
    </row>
    <row r="288" spans="1:20" customFormat="1">
      <c r="A288" s="12" t="s">
        <v>460</v>
      </c>
      <c r="B288" t="s">
        <v>547</v>
      </c>
      <c r="C288" t="s">
        <v>157</v>
      </c>
      <c r="D288" t="s">
        <v>128</v>
      </c>
      <c r="E288" t="s">
        <v>152</v>
      </c>
      <c r="F288" s="4"/>
      <c r="G288" s="7">
        <v>15519592</v>
      </c>
      <c r="H288" s="7">
        <v>15434720</v>
      </c>
      <c r="I288" s="8"/>
      <c r="J288" s="7">
        <v>4980299</v>
      </c>
      <c r="K288" s="7">
        <v>9713599</v>
      </c>
      <c r="L288" s="7">
        <v>740822</v>
      </c>
      <c r="M288" s="7">
        <v>10454421</v>
      </c>
      <c r="N288" s="8"/>
      <c r="O288" s="7">
        <f t="shared" si="4"/>
        <v>4816183</v>
      </c>
      <c r="P288" s="7">
        <v>9767029</v>
      </c>
      <c r="Q288" s="7">
        <v>851508</v>
      </c>
      <c r="R288" s="7">
        <v>10618537</v>
      </c>
      <c r="S288" s="9">
        <v>1.0632910736313972E-2</v>
      </c>
      <c r="T288" s="10"/>
    </row>
    <row r="289" spans="1:20" customFormat="1">
      <c r="A289" s="12" t="s">
        <v>375</v>
      </c>
      <c r="B289" t="s">
        <v>549</v>
      </c>
      <c r="C289" t="s">
        <v>123</v>
      </c>
      <c r="D289" t="s">
        <v>128</v>
      </c>
      <c r="E289" t="s">
        <v>151</v>
      </c>
      <c r="F289" s="4"/>
      <c r="G289" s="7">
        <v>10000034</v>
      </c>
      <c r="H289" s="7">
        <v>9986514</v>
      </c>
      <c r="I289" s="8"/>
      <c r="J289" s="7">
        <v>2488324</v>
      </c>
      <c r="K289" s="7">
        <v>6960681</v>
      </c>
      <c r="L289" s="7">
        <v>537509</v>
      </c>
      <c r="M289" s="7">
        <v>7498190</v>
      </c>
      <c r="N289" s="8"/>
      <c r="O289" s="7">
        <f t="shared" si="4"/>
        <v>2375871</v>
      </c>
      <c r="P289" s="7">
        <v>6994004</v>
      </c>
      <c r="Q289" s="7">
        <v>616639</v>
      </c>
      <c r="R289" s="7">
        <v>7610643</v>
      </c>
      <c r="S289" s="9">
        <v>1.1260485891272971E-2</v>
      </c>
      <c r="T289" s="10"/>
    </row>
    <row r="290" spans="1:20" customFormat="1">
      <c r="A290" s="12" t="s">
        <v>361</v>
      </c>
      <c r="B290" t="s">
        <v>550</v>
      </c>
      <c r="C290" t="s">
        <v>123</v>
      </c>
      <c r="D290" t="s">
        <v>128</v>
      </c>
      <c r="E290" t="s">
        <v>151</v>
      </c>
      <c r="F290" s="4"/>
      <c r="G290" s="7">
        <v>10041120</v>
      </c>
      <c r="H290" s="7">
        <v>10019809</v>
      </c>
      <c r="I290" s="8"/>
      <c r="J290" s="7">
        <v>2775759</v>
      </c>
      <c r="K290" s="7">
        <v>6740559</v>
      </c>
      <c r="L290" s="7">
        <v>503491</v>
      </c>
      <c r="M290" s="7">
        <v>7244050</v>
      </c>
      <c r="N290" s="8"/>
      <c r="O290" s="7">
        <f t="shared" si="4"/>
        <v>2659487</v>
      </c>
      <c r="P290" s="7">
        <v>6776649</v>
      </c>
      <c r="Q290" s="7">
        <v>583673</v>
      </c>
      <c r="R290" s="7">
        <v>7360322</v>
      </c>
      <c r="S290" s="9">
        <v>1.16042132140443E-2</v>
      </c>
      <c r="T290" s="10"/>
    </row>
    <row r="291" spans="1:20" customFormat="1">
      <c r="A291" s="12" t="s">
        <v>504</v>
      </c>
      <c r="B291" t="s">
        <v>975</v>
      </c>
      <c r="C291" t="s">
        <v>123</v>
      </c>
      <c r="D291" t="s">
        <v>128</v>
      </c>
      <c r="E291" t="s">
        <v>152</v>
      </c>
      <c r="F291" s="4"/>
      <c r="G291" s="7">
        <v>21661742</v>
      </c>
      <c r="H291" s="7">
        <v>21235575</v>
      </c>
      <c r="I291" s="8"/>
      <c r="J291" s="7">
        <v>5020417</v>
      </c>
      <c r="K291" s="7">
        <v>15070891</v>
      </c>
      <c r="L291" s="7">
        <v>1144267</v>
      </c>
      <c r="M291" s="7">
        <v>16215158</v>
      </c>
      <c r="N291" s="8"/>
      <c r="O291" s="7">
        <f t="shared" si="4"/>
        <v>4773708</v>
      </c>
      <c r="P291" s="7">
        <v>15139799</v>
      </c>
      <c r="Q291" s="7">
        <v>1322068</v>
      </c>
      <c r="R291" s="7">
        <v>16461867</v>
      </c>
      <c r="S291" s="9">
        <v>1.1617721676950118E-2</v>
      </c>
      <c r="T291" s="10"/>
    </row>
    <row r="292" spans="1:20" customFormat="1">
      <c r="A292" s="12" t="s">
        <v>457</v>
      </c>
      <c r="B292" t="s">
        <v>555</v>
      </c>
      <c r="C292" t="s">
        <v>157</v>
      </c>
      <c r="D292" t="s">
        <v>128</v>
      </c>
      <c r="E292" t="s">
        <v>152</v>
      </c>
      <c r="F292" s="4"/>
      <c r="G292" s="7">
        <v>22687142</v>
      </c>
      <c r="H292" s="7">
        <v>22172767</v>
      </c>
      <c r="I292" s="8"/>
      <c r="J292" s="7">
        <v>5965100</v>
      </c>
      <c r="K292" s="7">
        <v>15098328</v>
      </c>
      <c r="L292" s="7">
        <v>1109339</v>
      </c>
      <c r="M292" s="7">
        <v>16207667</v>
      </c>
      <c r="N292" s="8"/>
      <c r="O292" s="7">
        <f t="shared" si="4"/>
        <v>5717962</v>
      </c>
      <c r="P292" s="7">
        <v>15174662</v>
      </c>
      <c r="Q292" s="7">
        <v>1280143</v>
      </c>
      <c r="R292" s="7">
        <v>16454805</v>
      </c>
      <c r="S292" s="9">
        <v>1.1146015289837304E-2</v>
      </c>
      <c r="T292" s="10"/>
    </row>
    <row r="293" spans="1:20" customFormat="1">
      <c r="A293" s="12" t="s">
        <v>366</v>
      </c>
      <c r="B293" t="s">
        <v>557</v>
      </c>
      <c r="C293" t="s">
        <v>123</v>
      </c>
      <c r="D293" t="s">
        <v>128</v>
      </c>
      <c r="E293" t="s">
        <v>151</v>
      </c>
      <c r="F293" s="4"/>
      <c r="G293" s="7">
        <v>12292198</v>
      </c>
      <c r="H293" s="7">
        <v>12091595</v>
      </c>
      <c r="I293" s="8"/>
      <c r="J293" s="7">
        <v>3015764</v>
      </c>
      <c r="K293" s="7">
        <v>8436622</v>
      </c>
      <c r="L293" s="7">
        <v>639209</v>
      </c>
      <c r="M293" s="7">
        <v>9075831</v>
      </c>
      <c r="N293" s="8"/>
      <c r="O293" s="7">
        <f t="shared" si="4"/>
        <v>2875533</v>
      </c>
      <c r="P293" s="7">
        <v>8482348</v>
      </c>
      <c r="Q293" s="7">
        <v>733714</v>
      </c>
      <c r="R293" s="7">
        <v>9216062</v>
      </c>
      <c r="S293" s="9">
        <v>1.1597394719224387E-2</v>
      </c>
      <c r="T293" s="10"/>
    </row>
    <row r="294" spans="1:20" customFormat="1">
      <c r="A294" s="12" t="s">
        <v>3</v>
      </c>
      <c r="B294" t="s">
        <v>565</v>
      </c>
      <c r="C294" t="s">
        <v>157</v>
      </c>
      <c r="D294" t="s">
        <v>126</v>
      </c>
      <c r="E294" t="s">
        <v>152</v>
      </c>
      <c r="F294" s="4"/>
      <c r="G294" s="7">
        <v>22479808</v>
      </c>
      <c r="H294" s="7">
        <v>22161105</v>
      </c>
      <c r="I294" s="8"/>
      <c r="J294" s="7">
        <v>5307891</v>
      </c>
      <c r="K294" s="7">
        <v>15618271</v>
      </c>
      <c r="L294" s="7">
        <v>1234943</v>
      </c>
      <c r="M294" s="7">
        <v>16853214</v>
      </c>
      <c r="N294" s="8"/>
      <c r="O294" s="7">
        <f t="shared" si="4"/>
        <v>5040873</v>
      </c>
      <c r="P294" s="7">
        <v>15703343</v>
      </c>
      <c r="Q294" s="7">
        <v>1416889</v>
      </c>
      <c r="R294" s="7">
        <v>17120232</v>
      </c>
      <c r="S294" s="9">
        <v>1.2048947920241342E-2</v>
      </c>
      <c r="T294" s="10"/>
    </row>
    <row r="295" spans="1:20" customFormat="1">
      <c r="A295" s="12" t="s">
        <v>382</v>
      </c>
      <c r="B295" t="s">
        <v>567</v>
      </c>
      <c r="C295" t="s">
        <v>123</v>
      </c>
      <c r="D295" t="s">
        <v>128</v>
      </c>
      <c r="E295" t="s">
        <v>152</v>
      </c>
      <c r="F295" s="4"/>
      <c r="G295" s="7">
        <v>30421220</v>
      </c>
      <c r="H295" s="7">
        <v>30312528</v>
      </c>
      <c r="I295" s="8"/>
      <c r="J295" s="7">
        <v>6783917</v>
      </c>
      <c r="K295" s="7">
        <v>21855990</v>
      </c>
      <c r="L295" s="7">
        <v>1672621</v>
      </c>
      <c r="M295" s="7">
        <v>23528611</v>
      </c>
      <c r="N295" s="8"/>
      <c r="O295" s="7">
        <f t="shared" si="4"/>
        <v>6455286</v>
      </c>
      <c r="P295" s="7">
        <v>21941722</v>
      </c>
      <c r="Q295" s="7">
        <v>1915520</v>
      </c>
      <c r="R295" s="7">
        <v>23857242</v>
      </c>
      <c r="S295" s="9">
        <v>1.0841425037199141E-2</v>
      </c>
      <c r="T295" s="10"/>
    </row>
    <row r="296" spans="1:20" customFormat="1">
      <c r="A296" s="12" t="s">
        <v>81</v>
      </c>
      <c r="B296" t="s">
        <v>568</v>
      </c>
      <c r="C296" t="s">
        <v>155</v>
      </c>
      <c r="D296" t="s">
        <v>128</v>
      </c>
      <c r="E296" t="s">
        <v>151</v>
      </c>
      <c r="F296" s="4"/>
      <c r="G296" s="7">
        <v>17269606</v>
      </c>
      <c r="H296" s="7">
        <v>17203221</v>
      </c>
      <c r="I296" s="8"/>
      <c r="J296" s="7">
        <v>4439781</v>
      </c>
      <c r="K296" s="7">
        <v>11897967</v>
      </c>
      <c r="L296" s="7">
        <v>865473</v>
      </c>
      <c r="M296" s="7">
        <v>12763440</v>
      </c>
      <c r="N296" s="8"/>
      <c r="O296" s="7">
        <f t="shared" si="4"/>
        <v>4247801</v>
      </c>
      <c r="P296" s="7">
        <v>11955260</v>
      </c>
      <c r="Q296" s="7">
        <v>1000160</v>
      </c>
      <c r="R296" s="7">
        <v>12955420</v>
      </c>
      <c r="S296" s="9">
        <v>1.1159538088826505E-2</v>
      </c>
      <c r="T296" s="10"/>
    </row>
    <row r="297" spans="1:20" customFormat="1">
      <c r="A297" s="12" t="s">
        <v>373</v>
      </c>
      <c r="B297" t="s">
        <v>569</v>
      </c>
      <c r="C297" t="s">
        <v>123</v>
      </c>
      <c r="D297" t="s">
        <v>128</v>
      </c>
      <c r="E297" t="s">
        <v>152</v>
      </c>
      <c r="F297" s="4"/>
      <c r="G297" s="7">
        <v>17755232</v>
      </c>
      <c r="H297" s="7">
        <v>17444571</v>
      </c>
      <c r="I297" s="8"/>
      <c r="J297" s="7">
        <v>5003552</v>
      </c>
      <c r="K297" s="7">
        <v>11556013</v>
      </c>
      <c r="L297" s="7">
        <v>885006</v>
      </c>
      <c r="M297" s="7">
        <v>12441019</v>
      </c>
      <c r="N297" s="8"/>
      <c r="O297" s="7">
        <f t="shared" si="4"/>
        <v>4820490</v>
      </c>
      <c r="P297" s="7">
        <v>11605756</v>
      </c>
      <c r="Q297" s="7">
        <v>1018325</v>
      </c>
      <c r="R297" s="7">
        <v>12624081</v>
      </c>
      <c r="S297" s="9">
        <v>1.0493923868921741E-2</v>
      </c>
      <c r="T297" s="10"/>
    </row>
    <row r="298" spans="1:20" customFormat="1">
      <c r="A298" s="12" t="s">
        <v>14</v>
      </c>
      <c r="B298" t="s">
        <v>976</v>
      </c>
      <c r="C298" t="s">
        <v>154</v>
      </c>
      <c r="D298" t="s">
        <v>128</v>
      </c>
      <c r="E298" t="s">
        <v>152</v>
      </c>
      <c r="F298" s="4"/>
      <c r="G298" s="7">
        <v>30289272</v>
      </c>
      <c r="H298" s="7">
        <v>30287355</v>
      </c>
      <c r="I298" s="8"/>
      <c r="J298" s="7">
        <v>7446473</v>
      </c>
      <c r="K298" s="7">
        <v>21165911</v>
      </c>
      <c r="L298" s="7">
        <v>1674971</v>
      </c>
      <c r="M298" s="7">
        <v>22840882</v>
      </c>
      <c r="N298" s="8"/>
      <c r="O298" s="7">
        <f t="shared" si="4"/>
        <v>7083112</v>
      </c>
      <c r="P298" s="7">
        <v>21277699</v>
      </c>
      <c r="Q298" s="7">
        <v>1926544</v>
      </c>
      <c r="R298" s="7">
        <v>23204243</v>
      </c>
      <c r="S298" s="9">
        <v>1.1997118929665531E-2</v>
      </c>
      <c r="T298" s="10"/>
    </row>
    <row r="299" spans="1:20" customFormat="1">
      <c r="A299" s="12" t="s">
        <v>268</v>
      </c>
      <c r="B299" t="s">
        <v>977</v>
      </c>
      <c r="C299" t="s">
        <v>158</v>
      </c>
      <c r="D299" t="s">
        <v>128</v>
      </c>
      <c r="E299" t="s">
        <v>152</v>
      </c>
      <c r="F299" s="4"/>
      <c r="G299" s="7">
        <v>23395318</v>
      </c>
      <c r="H299" s="7">
        <v>23290383</v>
      </c>
      <c r="I299" s="8"/>
      <c r="J299" s="7">
        <v>5640647</v>
      </c>
      <c r="K299" s="7">
        <v>16404856</v>
      </c>
      <c r="L299" s="7">
        <v>1244880</v>
      </c>
      <c r="M299" s="7">
        <v>17649736</v>
      </c>
      <c r="N299" s="8"/>
      <c r="O299" s="7">
        <f t="shared" si="4"/>
        <v>5353017</v>
      </c>
      <c r="P299" s="7">
        <v>16503573</v>
      </c>
      <c r="Q299" s="7">
        <v>1433793</v>
      </c>
      <c r="R299" s="7">
        <v>17937366</v>
      </c>
      <c r="S299" s="9">
        <v>1.2349732505472322E-2</v>
      </c>
      <c r="T299" s="10"/>
    </row>
    <row r="300" spans="1:20" customFormat="1">
      <c r="A300" s="12" t="s">
        <v>386</v>
      </c>
      <c r="B300" t="s">
        <v>577</v>
      </c>
      <c r="C300" t="s">
        <v>155</v>
      </c>
      <c r="D300" t="s">
        <v>128</v>
      </c>
      <c r="E300" t="s">
        <v>152</v>
      </c>
      <c r="F300" s="4"/>
      <c r="G300" s="7">
        <v>20251912</v>
      </c>
      <c r="H300" s="7">
        <v>20115244</v>
      </c>
      <c r="I300" s="8"/>
      <c r="J300" s="7">
        <v>5013234</v>
      </c>
      <c r="K300" s="7">
        <v>13946350</v>
      </c>
      <c r="L300" s="7">
        <v>1155660</v>
      </c>
      <c r="M300" s="7">
        <v>15102010</v>
      </c>
      <c r="N300" s="8"/>
      <c r="O300" s="7">
        <f t="shared" si="4"/>
        <v>4780009</v>
      </c>
      <c r="P300" s="7">
        <v>14024765</v>
      </c>
      <c r="Q300" s="7">
        <v>1310470</v>
      </c>
      <c r="R300" s="7">
        <v>15335235</v>
      </c>
      <c r="S300" s="9">
        <v>1.1594440514865243E-2</v>
      </c>
      <c r="T300" s="10"/>
    </row>
    <row r="301" spans="1:20" customFormat="1">
      <c r="A301" s="12" t="s">
        <v>17</v>
      </c>
      <c r="B301" t="s">
        <v>580</v>
      </c>
      <c r="C301" t="s">
        <v>157</v>
      </c>
      <c r="D301" t="s">
        <v>126</v>
      </c>
      <c r="E301" t="s">
        <v>151</v>
      </c>
      <c r="F301" s="4"/>
      <c r="G301" s="7">
        <v>15805680</v>
      </c>
      <c r="H301" s="7">
        <v>15743242</v>
      </c>
      <c r="I301" s="8"/>
      <c r="J301" s="7">
        <v>3427576</v>
      </c>
      <c r="K301" s="7">
        <v>11485301</v>
      </c>
      <c r="L301" s="7">
        <v>830365</v>
      </c>
      <c r="M301" s="7">
        <v>12315666</v>
      </c>
      <c r="N301" s="8"/>
      <c r="O301" s="7">
        <f t="shared" si="4"/>
        <v>3249722</v>
      </c>
      <c r="P301" s="7">
        <v>11531712</v>
      </c>
      <c r="Q301" s="7">
        <v>961808</v>
      </c>
      <c r="R301" s="7">
        <v>12493520</v>
      </c>
      <c r="S301" s="9">
        <v>1.1297164840634477E-2</v>
      </c>
      <c r="T301" s="10"/>
    </row>
    <row r="302" spans="1:20" customFormat="1">
      <c r="A302" s="12" t="s">
        <v>242</v>
      </c>
      <c r="B302" t="s">
        <v>584</v>
      </c>
      <c r="C302" t="s">
        <v>158</v>
      </c>
      <c r="D302" t="s">
        <v>128</v>
      </c>
      <c r="E302" t="s">
        <v>152</v>
      </c>
      <c r="F302" s="4"/>
      <c r="G302" s="7">
        <v>17014296</v>
      </c>
      <c r="H302" s="7">
        <v>16683785</v>
      </c>
      <c r="I302" s="8"/>
      <c r="J302" s="7">
        <v>4184383</v>
      </c>
      <c r="K302" s="7">
        <v>11700226</v>
      </c>
      <c r="L302" s="7">
        <v>799176</v>
      </c>
      <c r="M302" s="7">
        <v>12499402</v>
      </c>
      <c r="N302" s="8"/>
      <c r="O302" s="7">
        <f t="shared" si="4"/>
        <v>3984522</v>
      </c>
      <c r="P302" s="7">
        <v>11765092</v>
      </c>
      <c r="Q302" s="7">
        <v>934171</v>
      </c>
      <c r="R302" s="7">
        <v>12699263</v>
      </c>
      <c r="S302" s="9">
        <v>1.1979356003448858E-2</v>
      </c>
      <c r="T302" s="10"/>
    </row>
    <row r="303" spans="1:20" customFormat="1">
      <c r="A303" s="12" t="s">
        <v>64</v>
      </c>
      <c r="B303" t="s">
        <v>585</v>
      </c>
      <c r="C303" t="s">
        <v>155</v>
      </c>
      <c r="D303" t="s">
        <v>128</v>
      </c>
      <c r="E303" t="s">
        <v>152</v>
      </c>
      <c r="F303" s="4"/>
      <c r="G303" s="7">
        <v>27771418</v>
      </c>
      <c r="H303" s="7">
        <v>27289692</v>
      </c>
      <c r="I303" s="8"/>
      <c r="J303" s="7">
        <v>10406917</v>
      </c>
      <c r="K303" s="7">
        <v>15625468</v>
      </c>
      <c r="L303" s="7">
        <v>1257307</v>
      </c>
      <c r="M303" s="7">
        <v>16882775</v>
      </c>
      <c r="N303" s="8"/>
      <c r="O303" s="7">
        <f t="shared" si="4"/>
        <v>10136643</v>
      </c>
      <c r="P303" s="7">
        <v>15712519</v>
      </c>
      <c r="Q303" s="7">
        <v>1440530</v>
      </c>
      <c r="R303" s="7">
        <v>17153049</v>
      </c>
      <c r="S303" s="9">
        <v>9.9038860533860185E-3</v>
      </c>
      <c r="T303" s="10"/>
    </row>
    <row r="304" spans="1:20" customFormat="1">
      <c r="A304" s="12" t="s">
        <v>90</v>
      </c>
      <c r="C304" t="s">
        <v>155</v>
      </c>
      <c r="D304" t="s">
        <v>128</v>
      </c>
      <c r="E304" t="s">
        <v>152</v>
      </c>
      <c r="F304" s="4"/>
      <c r="G304" s="7">
        <v>24451918</v>
      </c>
      <c r="H304" s="7">
        <v>23831661</v>
      </c>
      <c r="I304" s="8"/>
      <c r="J304" s="7">
        <v>6333663</v>
      </c>
      <c r="K304" s="7">
        <v>16283226</v>
      </c>
      <c r="L304" s="7">
        <v>1214772</v>
      </c>
      <c r="M304" s="7">
        <v>17497998</v>
      </c>
      <c r="N304" s="8"/>
      <c r="O304" s="7">
        <f t="shared" si="4"/>
        <v>6056752</v>
      </c>
      <c r="P304" s="7">
        <v>16371286</v>
      </c>
      <c r="Q304" s="7">
        <v>1403623</v>
      </c>
      <c r="R304" s="7">
        <v>17774909</v>
      </c>
      <c r="S304" s="9">
        <v>1.1619458668869116E-2</v>
      </c>
      <c r="T304" s="10"/>
    </row>
    <row r="305" spans="1:20" customFormat="1">
      <c r="A305" s="12" t="s">
        <v>213</v>
      </c>
      <c r="C305" t="s">
        <v>154</v>
      </c>
      <c r="D305" t="s">
        <v>128</v>
      </c>
      <c r="E305" t="s">
        <v>152</v>
      </c>
      <c r="F305" s="4"/>
      <c r="G305" s="7">
        <v>15800456</v>
      </c>
      <c r="H305" s="7">
        <v>15799173</v>
      </c>
      <c r="I305" s="8"/>
      <c r="J305" s="7">
        <v>6030567</v>
      </c>
      <c r="K305" s="7">
        <v>9181034</v>
      </c>
      <c r="L305" s="7">
        <v>587572</v>
      </c>
      <c r="M305" s="7">
        <v>9768606</v>
      </c>
      <c r="N305" s="8"/>
      <c r="O305" s="7">
        <f t="shared" si="4"/>
        <v>5869748</v>
      </c>
      <c r="P305" s="7">
        <v>9229619</v>
      </c>
      <c r="Q305" s="7">
        <v>699806</v>
      </c>
      <c r="R305" s="7">
        <v>9929425</v>
      </c>
      <c r="S305" s="9">
        <v>1.0178950505827108E-2</v>
      </c>
      <c r="T305" s="10"/>
    </row>
    <row r="306" spans="1:20" customFormat="1">
      <c r="A306" s="12" t="s">
        <v>195</v>
      </c>
      <c r="C306" t="s">
        <v>154</v>
      </c>
      <c r="D306" t="s">
        <v>126</v>
      </c>
      <c r="E306" t="s">
        <v>152</v>
      </c>
      <c r="F306" s="4"/>
      <c r="G306" s="7">
        <v>36183498</v>
      </c>
      <c r="H306" s="7">
        <v>36181277</v>
      </c>
      <c r="I306" s="8"/>
      <c r="J306" s="7">
        <v>11291029</v>
      </c>
      <c r="K306" s="7">
        <v>23251338</v>
      </c>
      <c r="L306" s="7">
        <v>1638910</v>
      </c>
      <c r="M306" s="7">
        <v>24890248</v>
      </c>
      <c r="N306" s="8"/>
      <c r="O306" s="7">
        <f t="shared" si="4"/>
        <v>10887227</v>
      </c>
      <c r="P306" s="7">
        <v>23383431</v>
      </c>
      <c r="Q306" s="7">
        <v>1910619</v>
      </c>
      <c r="R306" s="7">
        <v>25294050</v>
      </c>
      <c r="S306" s="9">
        <v>1.1160523715069537E-2</v>
      </c>
      <c r="T306" s="10"/>
    </row>
    <row r="307" spans="1:20" customFormat="1">
      <c r="A307" s="12" t="s">
        <v>27</v>
      </c>
      <c r="C307" t="s">
        <v>157</v>
      </c>
      <c r="D307" t="s">
        <v>126</v>
      </c>
      <c r="E307" t="s">
        <v>151</v>
      </c>
      <c r="F307" s="4"/>
      <c r="G307" s="7">
        <v>16146442</v>
      </c>
      <c r="H307" s="7">
        <v>15845988</v>
      </c>
      <c r="I307" s="8"/>
      <c r="J307" s="7">
        <v>4349671</v>
      </c>
      <c r="K307" s="7">
        <v>10698034</v>
      </c>
      <c r="L307" s="7">
        <v>798283</v>
      </c>
      <c r="M307" s="7">
        <v>11496317</v>
      </c>
      <c r="N307" s="8"/>
      <c r="O307" s="7">
        <f t="shared" si="4"/>
        <v>4163931</v>
      </c>
      <c r="P307" s="7">
        <v>10757936</v>
      </c>
      <c r="Q307" s="7">
        <v>924121</v>
      </c>
      <c r="R307" s="7">
        <v>11682057</v>
      </c>
      <c r="S307" s="9">
        <v>1.1721578988952914E-2</v>
      </c>
      <c r="T307" s="10"/>
    </row>
    <row r="308" spans="1:20" customFormat="1">
      <c r="A308" s="12" t="s">
        <v>16</v>
      </c>
      <c r="B308" t="s">
        <v>592</v>
      </c>
      <c r="C308" t="s">
        <v>157</v>
      </c>
      <c r="D308" t="s">
        <v>126</v>
      </c>
      <c r="E308" t="s">
        <v>151</v>
      </c>
      <c r="F308" s="4"/>
      <c r="G308" s="7">
        <v>14568912</v>
      </c>
      <c r="H308" s="7">
        <v>14252614</v>
      </c>
      <c r="I308" s="8"/>
      <c r="J308" s="7">
        <v>3386385</v>
      </c>
      <c r="K308" s="7">
        <v>10045374</v>
      </c>
      <c r="L308" s="7">
        <v>820855</v>
      </c>
      <c r="M308" s="7">
        <v>10866229</v>
      </c>
      <c r="N308" s="8"/>
      <c r="O308" s="7">
        <f t="shared" si="4"/>
        <v>3216092</v>
      </c>
      <c r="P308" s="7">
        <v>10100763</v>
      </c>
      <c r="Q308" s="7">
        <v>935759</v>
      </c>
      <c r="R308" s="7">
        <v>11036522</v>
      </c>
      <c r="S308" s="9">
        <v>1.1948194204936723E-2</v>
      </c>
      <c r="T308" s="10"/>
    </row>
    <row r="309" spans="1:20" customFormat="1">
      <c r="A309" s="12" t="s">
        <v>69</v>
      </c>
      <c r="B309" t="s">
        <v>595</v>
      </c>
      <c r="C309" t="s">
        <v>155</v>
      </c>
      <c r="D309" t="s">
        <v>128</v>
      </c>
      <c r="E309" t="s">
        <v>152</v>
      </c>
      <c r="F309" s="4"/>
      <c r="G309" s="7">
        <v>32524426</v>
      </c>
      <c r="H309" s="7">
        <v>31914027</v>
      </c>
      <c r="I309" s="8"/>
      <c r="J309" s="7">
        <v>11748897</v>
      </c>
      <c r="K309" s="7">
        <v>18735894</v>
      </c>
      <c r="L309" s="7">
        <v>1429236</v>
      </c>
      <c r="M309" s="7">
        <v>20165130</v>
      </c>
      <c r="N309" s="8"/>
      <c r="O309" s="7">
        <f t="shared" si="4"/>
        <v>11446159</v>
      </c>
      <c r="P309" s="7">
        <v>18828989</v>
      </c>
      <c r="Q309" s="7">
        <v>1638879</v>
      </c>
      <c r="R309" s="7">
        <v>20467868</v>
      </c>
      <c r="S309" s="9">
        <v>9.4860482508208697E-3</v>
      </c>
      <c r="T309" s="10"/>
    </row>
    <row r="310" spans="1:20" customFormat="1">
      <c r="A310" s="12" t="s">
        <v>448</v>
      </c>
      <c r="B310" t="s">
        <v>600</v>
      </c>
      <c r="C310" t="s">
        <v>156</v>
      </c>
      <c r="D310" t="s">
        <v>126</v>
      </c>
      <c r="E310" t="s">
        <v>152</v>
      </c>
      <c r="F310" s="4"/>
      <c r="G310" s="7">
        <v>41410410</v>
      </c>
      <c r="H310" s="7">
        <v>41172373</v>
      </c>
      <c r="I310" s="8"/>
      <c r="J310" s="7">
        <v>9301530</v>
      </c>
      <c r="K310" s="7">
        <v>29444556</v>
      </c>
      <c r="L310" s="7">
        <v>2426287</v>
      </c>
      <c r="M310" s="7">
        <v>31870843</v>
      </c>
      <c r="N310" s="8"/>
      <c r="O310" s="7">
        <f t="shared" si="4"/>
        <v>8805005</v>
      </c>
      <c r="P310" s="7">
        <v>29623219</v>
      </c>
      <c r="Q310" s="7">
        <v>2744149</v>
      </c>
      <c r="R310" s="7">
        <v>32367368</v>
      </c>
      <c r="S310" s="9">
        <v>1.2059664377372662E-2</v>
      </c>
      <c r="T310" s="10"/>
    </row>
    <row r="311" spans="1:20" customFormat="1">
      <c r="A311" s="12" t="s">
        <v>23</v>
      </c>
      <c r="B311" t="s">
        <v>601</v>
      </c>
      <c r="C311" t="s">
        <v>157</v>
      </c>
      <c r="D311" t="s">
        <v>126</v>
      </c>
      <c r="E311" t="s">
        <v>151</v>
      </c>
      <c r="F311" s="4"/>
      <c r="G311" s="7">
        <v>12644242</v>
      </c>
      <c r="H311" s="7">
        <v>12600588</v>
      </c>
      <c r="I311" s="8"/>
      <c r="J311" s="7">
        <v>2903032</v>
      </c>
      <c r="K311" s="7">
        <v>8993062</v>
      </c>
      <c r="L311" s="7">
        <v>704494</v>
      </c>
      <c r="M311" s="7">
        <v>9697556</v>
      </c>
      <c r="N311" s="8"/>
      <c r="O311" s="7">
        <f t="shared" si="4"/>
        <v>2759399</v>
      </c>
      <c r="P311" s="7">
        <v>9034322</v>
      </c>
      <c r="Q311" s="7">
        <v>806867</v>
      </c>
      <c r="R311" s="7">
        <v>9841189</v>
      </c>
      <c r="S311" s="9">
        <v>1.1398912495194669E-2</v>
      </c>
      <c r="T311" s="10"/>
    </row>
    <row r="312" spans="1:20" customFormat="1">
      <c r="A312" s="12" t="s">
        <v>88</v>
      </c>
      <c r="B312" t="s">
        <v>602</v>
      </c>
      <c r="C312" t="s">
        <v>155</v>
      </c>
      <c r="D312" t="s">
        <v>128</v>
      </c>
      <c r="E312" t="s">
        <v>152</v>
      </c>
      <c r="F312" s="4"/>
      <c r="G312" s="7">
        <v>20152462</v>
      </c>
      <c r="H312" s="7">
        <v>20084378</v>
      </c>
      <c r="I312" s="8"/>
      <c r="J312" s="7">
        <v>5077302</v>
      </c>
      <c r="K312" s="7">
        <v>13968108</v>
      </c>
      <c r="L312" s="7">
        <v>1038968</v>
      </c>
      <c r="M312" s="7">
        <v>15007076</v>
      </c>
      <c r="N312" s="8"/>
      <c r="O312" s="7">
        <f t="shared" si="4"/>
        <v>4833948</v>
      </c>
      <c r="P312" s="7">
        <v>14044375</v>
      </c>
      <c r="Q312" s="7">
        <v>1206055</v>
      </c>
      <c r="R312" s="7">
        <v>15250430</v>
      </c>
      <c r="S312" s="9">
        <v>1.211658135492172E-2</v>
      </c>
      <c r="T312" s="10"/>
    </row>
    <row r="313" spans="1:20" customFormat="1">
      <c r="A313" s="12" t="s">
        <v>67</v>
      </c>
      <c r="B313" t="s">
        <v>604</v>
      </c>
      <c r="C313" t="s">
        <v>155</v>
      </c>
      <c r="D313" t="s">
        <v>128</v>
      </c>
      <c r="E313" t="s">
        <v>152</v>
      </c>
      <c r="F313" s="4"/>
      <c r="G313" s="7">
        <v>39107470</v>
      </c>
      <c r="H313" s="7">
        <v>38884568</v>
      </c>
      <c r="I313" s="8"/>
      <c r="J313" s="7">
        <v>14012201</v>
      </c>
      <c r="K313" s="7">
        <v>23140192</v>
      </c>
      <c r="L313" s="7">
        <v>1732175</v>
      </c>
      <c r="M313" s="7">
        <v>24872367</v>
      </c>
      <c r="N313" s="8"/>
      <c r="O313" s="7">
        <f t="shared" si="4"/>
        <v>13584746</v>
      </c>
      <c r="P313" s="7">
        <v>23297382</v>
      </c>
      <c r="Q313" s="7">
        <v>2002440</v>
      </c>
      <c r="R313" s="7">
        <v>25299822</v>
      </c>
      <c r="S313" s="9">
        <v>1.0992921407793446E-2</v>
      </c>
      <c r="T313" s="10"/>
    </row>
    <row r="314" spans="1:20" customFormat="1">
      <c r="A314" s="12" t="s">
        <v>220</v>
      </c>
      <c r="B314" t="s">
        <v>605</v>
      </c>
      <c r="C314" t="s">
        <v>154</v>
      </c>
      <c r="D314" t="s">
        <v>128</v>
      </c>
      <c r="E314" t="s">
        <v>152</v>
      </c>
      <c r="F314" s="4"/>
      <c r="G314" s="7">
        <v>22215608</v>
      </c>
      <c r="H314" s="7">
        <v>22213639</v>
      </c>
      <c r="I314" s="8"/>
      <c r="J314" s="7">
        <v>6923008</v>
      </c>
      <c r="K314" s="7">
        <v>14111785</v>
      </c>
      <c r="L314" s="7">
        <v>1178846</v>
      </c>
      <c r="M314" s="7">
        <v>15290631</v>
      </c>
      <c r="N314" s="8"/>
      <c r="O314" s="7">
        <f t="shared" si="4"/>
        <v>6698048</v>
      </c>
      <c r="P314" s="7">
        <v>14173961</v>
      </c>
      <c r="Q314" s="7">
        <v>1341630</v>
      </c>
      <c r="R314" s="7">
        <v>15515591</v>
      </c>
      <c r="S314" s="9">
        <v>1.0127111546199162E-2</v>
      </c>
      <c r="T314" s="10"/>
    </row>
    <row r="315" spans="1:20" customFormat="1">
      <c r="A315" s="12" t="s">
        <v>89</v>
      </c>
      <c r="B315" t="s">
        <v>606</v>
      </c>
      <c r="C315" t="s">
        <v>155</v>
      </c>
      <c r="D315" t="s">
        <v>128</v>
      </c>
      <c r="E315" t="s">
        <v>152</v>
      </c>
      <c r="F315" s="4"/>
      <c r="G315" s="7">
        <v>25210218</v>
      </c>
      <c r="H315" s="7">
        <v>24515123</v>
      </c>
      <c r="I315" s="8"/>
      <c r="J315" s="7">
        <v>6428601</v>
      </c>
      <c r="K315" s="7">
        <v>16954385</v>
      </c>
      <c r="L315" s="7">
        <v>1132137</v>
      </c>
      <c r="M315" s="7">
        <v>18086522</v>
      </c>
      <c r="N315" s="8"/>
      <c r="O315" s="7">
        <f t="shared" si="4"/>
        <v>6135418</v>
      </c>
      <c r="P315" s="7">
        <v>17046073</v>
      </c>
      <c r="Q315" s="7">
        <v>1333632</v>
      </c>
      <c r="R315" s="7">
        <v>18379705</v>
      </c>
      <c r="S315" s="9">
        <v>1.1959271018138477E-2</v>
      </c>
      <c r="T315" s="10"/>
    </row>
    <row r="316" spans="1:20" customFormat="1">
      <c r="A316" s="12" t="s">
        <v>323</v>
      </c>
      <c r="B316" t="s">
        <v>607</v>
      </c>
      <c r="C316" t="s">
        <v>155</v>
      </c>
      <c r="D316" t="s">
        <v>128</v>
      </c>
      <c r="E316" t="s">
        <v>152</v>
      </c>
      <c r="F316" s="4"/>
      <c r="G316" s="7">
        <v>28648514</v>
      </c>
      <c r="H316" s="7">
        <v>27957273</v>
      </c>
      <c r="I316" s="8"/>
      <c r="J316" s="7">
        <v>7104738</v>
      </c>
      <c r="K316" s="7">
        <v>19404559</v>
      </c>
      <c r="L316" s="7">
        <v>1447976</v>
      </c>
      <c r="M316" s="7">
        <v>20852535</v>
      </c>
      <c r="N316" s="8"/>
      <c r="O316" s="7">
        <f t="shared" si="4"/>
        <v>6788284</v>
      </c>
      <c r="P316" s="7">
        <v>19502302</v>
      </c>
      <c r="Q316" s="7">
        <v>1666687</v>
      </c>
      <c r="R316" s="7">
        <v>21168989</v>
      </c>
      <c r="S316" s="9">
        <v>1.1319201268306819E-2</v>
      </c>
      <c r="T316" s="10"/>
    </row>
    <row r="317" spans="1:20" customFormat="1">
      <c r="A317" s="12" t="s">
        <v>76</v>
      </c>
      <c r="B317" t="s">
        <v>619</v>
      </c>
      <c r="C317" t="s">
        <v>155</v>
      </c>
      <c r="D317" t="s">
        <v>128</v>
      </c>
      <c r="E317" t="s">
        <v>152</v>
      </c>
      <c r="F317" s="4"/>
      <c r="G317" s="7">
        <v>18848266</v>
      </c>
      <c r="H317" s="7">
        <v>18762934</v>
      </c>
      <c r="I317" s="8"/>
      <c r="J317" s="7">
        <v>4471294</v>
      </c>
      <c r="K317" s="7">
        <v>13280915</v>
      </c>
      <c r="L317" s="7">
        <v>1010725</v>
      </c>
      <c r="M317" s="7">
        <v>14291640</v>
      </c>
      <c r="N317" s="8"/>
      <c r="O317" s="7">
        <f t="shared" si="4"/>
        <v>4245520</v>
      </c>
      <c r="P317" s="7">
        <v>13350740</v>
      </c>
      <c r="Q317" s="7">
        <v>1166674</v>
      </c>
      <c r="R317" s="7">
        <v>14517414</v>
      </c>
      <c r="S317" s="9">
        <v>1.2032979490307859E-2</v>
      </c>
      <c r="T317" s="10"/>
    </row>
    <row r="318" spans="1:20" customFormat="1">
      <c r="A318" s="12" t="s">
        <v>70</v>
      </c>
      <c r="B318" t="s">
        <v>620</v>
      </c>
      <c r="C318" t="s">
        <v>155</v>
      </c>
      <c r="D318" t="s">
        <v>128</v>
      </c>
      <c r="E318" t="s">
        <v>152</v>
      </c>
      <c r="F318" s="4"/>
      <c r="G318" s="7">
        <v>18663844</v>
      </c>
      <c r="H318" s="7">
        <v>18139326</v>
      </c>
      <c r="I318" s="8"/>
      <c r="J318" s="7">
        <v>6486637</v>
      </c>
      <c r="K318" s="7">
        <v>10858470</v>
      </c>
      <c r="L318" s="7">
        <v>794219</v>
      </c>
      <c r="M318" s="7">
        <v>11652689</v>
      </c>
      <c r="N318" s="8"/>
      <c r="O318" s="7">
        <f t="shared" si="4"/>
        <v>6299738</v>
      </c>
      <c r="P318" s="7">
        <v>10919901</v>
      </c>
      <c r="Q318" s="7">
        <v>919687</v>
      </c>
      <c r="R318" s="7">
        <v>11839588</v>
      </c>
      <c r="S318" s="9">
        <v>1.0303525059310363E-2</v>
      </c>
      <c r="T318" s="10"/>
    </row>
    <row r="319" spans="1:20" customFormat="1">
      <c r="A319" s="12" t="s">
        <v>453</v>
      </c>
      <c r="B319" t="s">
        <v>621</v>
      </c>
      <c r="C319" t="s">
        <v>156</v>
      </c>
      <c r="D319" t="s">
        <v>126</v>
      </c>
      <c r="E319" t="s">
        <v>152</v>
      </c>
      <c r="F319" s="4"/>
      <c r="G319" s="7">
        <v>27640438</v>
      </c>
      <c r="H319" s="7">
        <v>27001515</v>
      </c>
      <c r="I319" s="8"/>
      <c r="J319" s="7">
        <v>5671086</v>
      </c>
      <c r="K319" s="7">
        <v>19835954</v>
      </c>
      <c r="L319" s="7">
        <v>1494475</v>
      </c>
      <c r="M319" s="7">
        <v>21330429</v>
      </c>
      <c r="N319" s="8"/>
      <c r="O319" s="7">
        <f t="shared" si="4"/>
        <v>5353000</v>
      </c>
      <c r="P319" s="7">
        <v>19944011</v>
      </c>
      <c r="Q319" s="7">
        <v>1704504</v>
      </c>
      <c r="R319" s="7">
        <v>21648515</v>
      </c>
      <c r="S319" s="9">
        <v>1.1780301957130923E-2</v>
      </c>
      <c r="T319" s="10"/>
    </row>
    <row r="320" spans="1:20" customFormat="1">
      <c r="A320" s="12" t="s">
        <v>74</v>
      </c>
      <c r="B320" t="s">
        <v>622</v>
      </c>
      <c r="C320" t="s">
        <v>155</v>
      </c>
      <c r="D320" t="s">
        <v>128</v>
      </c>
      <c r="E320" t="s">
        <v>151</v>
      </c>
      <c r="F320" s="4"/>
      <c r="G320" s="7">
        <v>11941816</v>
      </c>
      <c r="H320" s="7">
        <v>11866739</v>
      </c>
      <c r="I320" s="8"/>
      <c r="J320" s="7">
        <v>2497578</v>
      </c>
      <c r="K320" s="7">
        <v>8716653</v>
      </c>
      <c r="L320" s="7">
        <v>652508</v>
      </c>
      <c r="M320" s="7">
        <v>9369161</v>
      </c>
      <c r="N320" s="8"/>
      <c r="O320" s="7">
        <f t="shared" si="4"/>
        <v>2366838</v>
      </c>
      <c r="P320" s="7">
        <v>8752974</v>
      </c>
      <c r="Q320" s="7">
        <v>746927</v>
      </c>
      <c r="R320" s="7">
        <v>9499901</v>
      </c>
      <c r="S320" s="9">
        <v>1.1017348574026951E-2</v>
      </c>
      <c r="T320" s="10"/>
    </row>
    <row r="321" spans="1:20" customFormat="1">
      <c r="A321" s="12" t="s">
        <v>464</v>
      </c>
      <c r="B321" t="s">
        <v>623</v>
      </c>
      <c r="C321" t="s">
        <v>157</v>
      </c>
      <c r="D321" t="s">
        <v>126</v>
      </c>
      <c r="E321" t="s">
        <v>152</v>
      </c>
      <c r="F321" s="4"/>
      <c r="G321" s="7">
        <v>23444830</v>
      </c>
      <c r="H321" s="7">
        <v>23096798</v>
      </c>
      <c r="I321" s="8"/>
      <c r="J321" s="7">
        <v>6480223</v>
      </c>
      <c r="K321" s="7">
        <v>15426253</v>
      </c>
      <c r="L321" s="7">
        <v>1190322</v>
      </c>
      <c r="M321" s="7">
        <v>16616575</v>
      </c>
      <c r="N321" s="8"/>
      <c r="O321" s="7">
        <f t="shared" si="4"/>
        <v>6215433</v>
      </c>
      <c r="P321" s="7">
        <v>15511236</v>
      </c>
      <c r="Q321" s="7">
        <v>1370129</v>
      </c>
      <c r="R321" s="7">
        <v>16881365</v>
      </c>
      <c r="S321" s="9">
        <v>1.1464359691763334E-2</v>
      </c>
      <c r="T321" s="10"/>
    </row>
    <row r="322" spans="1:20" customFormat="1">
      <c r="A322" s="12" t="s">
        <v>481</v>
      </c>
      <c r="B322" t="s">
        <v>624</v>
      </c>
      <c r="C322" t="s">
        <v>154</v>
      </c>
      <c r="D322" t="s">
        <v>128</v>
      </c>
      <c r="E322" t="s">
        <v>152</v>
      </c>
      <c r="F322" s="4"/>
      <c r="G322" s="7">
        <v>42179850</v>
      </c>
      <c r="H322" s="7">
        <v>42176599</v>
      </c>
      <c r="I322" s="8"/>
      <c r="J322" s="7">
        <v>13897996</v>
      </c>
      <c r="K322" s="7">
        <v>26127666</v>
      </c>
      <c r="L322" s="7">
        <v>2150937</v>
      </c>
      <c r="M322" s="7">
        <v>28278603</v>
      </c>
      <c r="N322" s="8"/>
      <c r="O322" s="7">
        <f t="shared" si="4"/>
        <v>13453037</v>
      </c>
      <c r="P322" s="7">
        <v>26265387</v>
      </c>
      <c r="Q322" s="7">
        <v>2458175</v>
      </c>
      <c r="R322" s="7">
        <v>28723562</v>
      </c>
      <c r="S322" s="9">
        <v>1.0549902328540051E-2</v>
      </c>
      <c r="T322" s="10"/>
    </row>
    <row r="323" spans="1:20" customFormat="1">
      <c r="A323" s="12" t="s">
        <v>482</v>
      </c>
      <c r="B323" t="s">
        <v>628</v>
      </c>
      <c r="C323" t="s">
        <v>155</v>
      </c>
      <c r="D323" t="s">
        <v>128</v>
      </c>
      <c r="E323" t="s">
        <v>151</v>
      </c>
      <c r="F323" s="4"/>
      <c r="G323" s="7">
        <v>14044714</v>
      </c>
      <c r="H323" s="7">
        <v>13981004</v>
      </c>
      <c r="I323" s="8"/>
      <c r="J323" s="7">
        <v>3271175</v>
      </c>
      <c r="K323" s="7">
        <v>9979027</v>
      </c>
      <c r="L323" s="7">
        <v>730802</v>
      </c>
      <c r="M323" s="7">
        <v>10709829</v>
      </c>
      <c r="N323" s="8"/>
      <c r="O323" s="7">
        <f t="shared" si="4"/>
        <v>3092263</v>
      </c>
      <c r="P323" s="7">
        <v>10037756</v>
      </c>
      <c r="Q323" s="7">
        <v>850985</v>
      </c>
      <c r="R323" s="7">
        <v>10888741</v>
      </c>
      <c r="S323" s="9">
        <v>1.2796791990045922E-2</v>
      </c>
      <c r="T323" s="10"/>
    </row>
    <row r="324" spans="1:20" customFormat="1">
      <c r="A324" s="12" t="s">
        <v>483</v>
      </c>
      <c r="B324" t="s">
        <v>625</v>
      </c>
      <c r="C324" t="s">
        <v>157</v>
      </c>
      <c r="D324" t="s">
        <v>126</v>
      </c>
      <c r="E324" t="s">
        <v>152</v>
      </c>
      <c r="F324" s="4"/>
      <c r="G324" s="7">
        <v>39180374</v>
      </c>
      <c r="H324" s="7">
        <v>39030923</v>
      </c>
      <c r="I324" s="8"/>
      <c r="J324" s="7">
        <v>10417715</v>
      </c>
      <c r="K324" s="7">
        <v>26620070</v>
      </c>
      <c r="L324" s="7">
        <v>1993138</v>
      </c>
      <c r="M324" s="7">
        <v>28613208</v>
      </c>
      <c r="N324" s="8"/>
      <c r="O324" s="7">
        <f t="shared" ref="O324:O387" si="5">H324-R324</f>
        <v>9972677</v>
      </c>
      <c r="P324" s="7">
        <v>26766318</v>
      </c>
      <c r="Q324" s="7">
        <v>2291928</v>
      </c>
      <c r="R324" s="7">
        <v>29058246</v>
      </c>
      <c r="S324" s="9">
        <v>1.1402190002014556E-2</v>
      </c>
      <c r="T324" s="10"/>
    </row>
    <row r="325" spans="1:20" customFormat="1">
      <c r="A325" s="12" t="s">
        <v>484</v>
      </c>
      <c r="B325" t="s">
        <v>626</v>
      </c>
      <c r="C325" t="s">
        <v>157</v>
      </c>
      <c r="D325" t="s">
        <v>126</v>
      </c>
      <c r="E325" t="s">
        <v>151</v>
      </c>
      <c r="F325" s="4"/>
      <c r="G325" s="7">
        <v>13975786</v>
      </c>
      <c r="H325" s="7">
        <v>13922096</v>
      </c>
      <c r="I325" s="8"/>
      <c r="J325" s="7">
        <v>3411489</v>
      </c>
      <c r="K325" s="7">
        <v>9773674</v>
      </c>
      <c r="L325" s="7">
        <v>736933</v>
      </c>
      <c r="M325" s="7">
        <v>10510607</v>
      </c>
      <c r="N325" s="8"/>
      <c r="O325" s="7">
        <f t="shared" si="5"/>
        <v>3257743</v>
      </c>
      <c r="P325" s="7">
        <v>9820924</v>
      </c>
      <c r="Q325" s="7">
        <v>843429</v>
      </c>
      <c r="R325" s="7">
        <v>10664353</v>
      </c>
      <c r="S325" s="9">
        <v>1.1043308421375632E-2</v>
      </c>
      <c r="T325" s="10"/>
    </row>
    <row r="326" spans="1:20" customFormat="1">
      <c r="A326" s="12" t="s">
        <v>485</v>
      </c>
      <c r="B326" t="s">
        <v>627</v>
      </c>
      <c r="C326" t="s">
        <v>157</v>
      </c>
      <c r="D326" t="s">
        <v>126</v>
      </c>
      <c r="E326" t="s">
        <v>151</v>
      </c>
      <c r="F326" s="4"/>
      <c r="G326" s="7">
        <v>14697184</v>
      </c>
      <c r="H326" s="7">
        <v>14644511</v>
      </c>
      <c r="I326" s="8"/>
      <c r="J326" s="7">
        <v>3566822</v>
      </c>
      <c r="K326" s="7">
        <v>10302471</v>
      </c>
      <c r="L326" s="7">
        <v>775218</v>
      </c>
      <c r="M326" s="7">
        <v>11077689</v>
      </c>
      <c r="N326" s="8"/>
      <c r="O326" s="7">
        <f t="shared" si="5"/>
        <v>3385595</v>
      </c>
      <c r="P326" s="7">
        <v>10363659</v>
      </c>
      <c r="Q326" s="7">
        <v>895257</v>
      </c>
      <c r="R326" s="7">
        <v>11258916</v>
      </c>
      <c r="S326" s="9">
        <v>1.2375080328732042E-2</v>
      </c>
      <c r="T326" s="10"/>
    </row>
    <row r="327" spans="1:20" customFormat="1">
      <c r="A327" s="12" t="s">
        <v>486</v>
      </c>
      <c r="B327" t="s">
        <v>629</v>
      </c>
      <c r="C327" t="s">
        <v>122</v>
      </c>
      <c r="D327" t="s">
        <v>126</v>
      </c>
      <c r="E327" t="s">
        <v>152</v>
      </c>
      <c r="F327" s="4"/>
      <c r="G327" s="7">
        <v>36636398</v>
      </c>
      <c r="H327" s="7">
        <v>36457193</v>
      </c>
      <c r="I327" s="8"/>
      <c r="J327" s="7">
        <v>9452805</v>
      </c>
      <c r="K327" s="7">
        <v>25025622</v>
      </c>
      <c r="L327" s="7">
        <v>1978766</v>
      </c>
      <c r="M327" s="7">
        <v>27004388</v>
      </c>
      <c r="N327" s="8"/>
      <c r="O327" s="7">
        <f t="shared" si="5"/>
        <v>9059436</v>
      </c>
      <c r="P327" s="7">
        <v>25148816</v>
      </c>
      <c r="Q327" s="7">
        <v>2248941</v>
      </c>
      <c r="R327" s="7">
        <v>27397757</v>
      </c>
      <c r="S327" s="9">
        <v>1.0789887197294646E-2</v>
      </c>
      <c r="T327" s="10"/>
    </row>
    <row r="328" spans="1:20" customFormat="1">
      <c r="A328" s="12" t="s">
        <v>488</v>
      </c>
      <c r="B328" t="s">
        <v>630</v>
      </c>
      <c r="C328" t="s">
        <v>157</v>
      </c>
      <c r="D328" t="s">
        <v>126</v>
      </c>
      <c r="E328" t="s">
        <v>152</v>
      </c>
      <c r="F328" s="4"/>
      <c r="G328" s="7">
        <v>25375224</v>
      </c>
      <c r="H328" s="7">
        <v>25271914</v>
      </c>
      <c r="I328" s="8"/>
      <c r="J328" s="7">
        <v>5980823</v>
      </c>
      <c r="K328" s="7">
        <v>17949287</v>
      </c>
      <c r="L328" s="7">
        <v>1341804</v>
      </c>
      <c r="M328" s="7">
        <v>19291091</v>
      </c>
      <c r="N328" s="8"/>
      <c r="O328" s="7">
        <f t="shared" si="5"/>
        <v>5684551</v>
      </c>
      <c r="P328" s="7">
        <v>18042693</v>
      </c>
      <c r="Q328" s="7">
        <v>1544670</v>
      </c>
      <c r="R328" s="7">
        <v>19587363</v>
      </c>
      <c r="S328" s="9">
        <v>1.1723370062117178E-2</v>
      </c>
      <c r="T328" s="10"/>
    </row>
    <row r="329" spans="1:20" customFormat="1">
      <c r="A329" s="12" t="s">
        <v>487</v>
      </c>
      <c r="B329" t="s">
        <v>631</v>
      </c>
      <c r="C329" t="s">
        <v>157</v>
      </c>
      <c r="D329" t="s">
        <v>126</v>
      </c>
      <c r="E329" t="s">
        <v>151</v>
      </c>
      <c r="F329" s="4"/>
      <c r="G329" s="7">
        <v>15552462</v>
      </c>
      <c r="H329" s="7">
        <v>15505711</v>
      </c>
      <c r="I329" s="8"/>
      <c r="J329" s="7">
        <v>3764357</v>
      </c>
      <c r="K329" s="7">
        <v>10941928</v>
      </c>
      <c r="L329" s="7">
        <v>799426</v>
      </c>
      <c r="M329" s="7">
        <v>11741354</v>
      </c>
      <c r="N329" s="8"/>
      <c r="O329" s="7">
        <f t="shared" si="5"/>
        <v>3584177</v>
      </c>
      <c r="P329" s="7">
        <v>10996085</v>
      </c>
      <c r="Q329" s="7">
        <v>925449</v>
      </c>
      <c r="R329" s="7">
        <v>11921534</v>
      </c>
      <c r="S329" s="9">
        <v>1.1620234634838737E-2</v>
      </c>
      <c r="T329" s="10"/>
    </row>
    <row r="330" spans="1:20" customFormat="1">
      <c r="A330" s="12" t="s">
        <v>92</v>
      </c>
      <c r="B330" t="s">
        <v>634</v>
      </c>
      <c r="C330" t="s">
        <v>155</v>
      </c>
      <c r="D330" t="s">
        <v>128</v>
      </c>
      <c r="E330" t="s">
        <v>152</v>
      </c>
      <c r="F330" s="4"/>
      <c r="G330" s="7">
        <v>20826096</v>
      </c>
      <c r="H330" s="7">
        <v>20675173</v>
      </c>
      <c r="I330" s="8"/>
      <c r="J330" s="7">
        <v>5035791</v>
      </c>
      <c r="K330" s="7">
        <v>14507491</v>
      </c>
      <c r="L330" s="7">
        <v>1131891</v>
      </c>
      <c r="M330" s="7">
        <v>15639382</v>
      </c>
      <c r="N330" s="8"/>
      <c r="O330" s="7">
        <f t="shared" si="5"/>
        <v>4785622</v>
      </c>
      <c r="P330" s="7">
        <v>14591628</v>
      </c>
      <c r="Q330" s="7">
        <v>1297923</v>
      </c>
      <c r="R330" s="7">
        <v>15889551</v>
      </c>
      <c r="S330" s="9">
        <v>1.2099971303746768E-2</v>
      </c>
      <c r="T330" s="10"/>
    </row>
    <row r="331" spans="1:20" customFormat="1">
      <c r="A331" s="12" t="s">
        <v>66</v>
      </c>
      <c r="B331" t="s">
        <v>635</v>
      </c>
      <c r="C331" t="s">
        <v>155</v>
      </c>
      <c r="D331" t="s">
        <v>128</v>
      </c>
      <c r="E331" t="s">
        <v>152</v>
      </c>
      <c r="F331" s="4"/>
      <c r="G331" s="7">
        <v>24251010</v>
      </c>
      <c r="H331" s="7">
        <v>23730742</v>
      </c>
      <c r="I331" s="8"/>
      <c r="J331" s="7">
        <v>8858385</v>
      </c>
      <c r="K331" s="7">
        <v>13809967</v>
      </c>
      <c r="L331" s="7">
        <v>1062390</v>
      </c>
      <c r="M331" s="7">
        <v>14872357</v>
      </c>
      <c r="N331" s="8"/>
      <c r="O331" s="7">
        <f t="shared" si="5"/>
        <v>8615974</v>
      </c>
      <c r="P331" s="7">
        <v>13891148</v>
      </c>
      <c r="Q331" s="7">
        <v>1223620</v>
      </c>
      <c r="R331" s="7">
        <v>15114768</v>
      </c>
      <c r="S331" s="9">
        <v>1.0215061964771266E-2</v>
      </c>
      <c r="T331" s="10"/>
    </row>
    <row r="332" spans="1:20" customFormat="1">
      <c r="A332" s="12" t="s">
        <v>380</v>
      </c>
      <c r="B332" t="s">
        <v>636</v>
      </c>
      <c r="C332" t="s">
        <v>123</v>
      </c>
      <c r="D332" t="s">
        <v>128</v>
      </c>
      <c r="E332" t="s">
        <v>152</v>
      </c>
      <c r="F332" s="4"/>
      <c r="G332" s="7">
        <v>19077372</v>
      </c>
      <c r="H332" s="7">
        <v>19015215</v>
      </c>
      <c r="I332" s="8"/>
      <c r="J332" s="7">
        <v>4895552</v>
      </c>
      <c r="K332" s="7">
        <v>13165659</v>
      </c>
      <c r="L332" s="7">
        <v>954004</v>
      </c>
      <c r="M332" s="7">
        <v>14119663</v>
      </c>
      <c r="N332" s="8"/>
      <c r="O332" s="7">
        <f t="shared" si="5"/>
        <v>4678977</v>
      </c>
      <c r="P332" s="7">
        <v>13225361</v>
      </c>
      <c r="Q332" s="7">
        <v>1110877</v>
      </c>
      <c r="R332" s="7">
        <v>14336238</v>
      </c>
      <c r="S332" s="9">
        <v>1.1389563567911275E-2</v>
      </c>
      <c r="T332" s="10"/>
    </row>
    <row r="333" spans="1:20" customFormat="1">
      <c r="A333" s="12" t="s">
        <v>196</v>
      </c>
      <c r="B333" t="s">
        <v>637</v>
      </c>
      <c r="C333" t="s">
        <v>154</v>
      </c>
      <c r="D333" t="s">
        <v>128</v>
      </c>
      <c r="E333" t="s">
        <v>152</v>
      </c>
      <c r="F333" s="4"/>
      <c r="G333" s="7">
        <v>14371610</v>
      </c>
      <c r="H333" s="7">
        <v>14370574</v>
      </c>
      <c r="I333" s="8"/>
      <c r="J333" s="7">
        <v>4523322</v>
      </c>
      <c r="K333" s="7">
        <v>9017460</v>
      </c>
      <c r="L333" s="7">
        <v>829792</v>
      </c>
      <c r="M333" s="7">
        <v>9847252</v>
      </c>
      <c r="N333" s="8"/>
      <c r="O333" s="7">
        <f t="shared" si="5"/>
        <v>4385475</v>
      </c>
      <c r="P333" s="7">
        <v>9051467</v>
      </c>
      <c r="Q333" s="7">
        <v>933632</v>
      </c>
      <c r="R333" s="7">
        <v>9985099</v>
      </c>
      <c r="S333" s="9">
        <v>9.5923099522677389E-3</v>
      </c>
      <c r="T333" s="10"/>
    </row>
    <row r="334" spans="1:20" customFormat="1">
      <c r="A334" s="12" t="s">
        <v>327</v>
      </c>
      <c r="B334" t="s">
        <v>641</v>
      </c>
      <c r="C334" t="s">
        <v>123</v>
      </c>
      <c r="D334" t="s">
        <v>126</v>
      </c>
      <c r="E334" t="s">
        <v>151</v>
      </c>
      <c r="F334" s="4"/>
      <c r="G334" s="7">
        <v>16767432</v>
      </c>
      <c r="H334" s="7">
        <v>16706267</v>
      </c>
      <c r="I334" s="8"/>
      <c r="J334" s="7">
        <v>4012927</v>
      </c>
      <c r="K334" s="7">
        <v>11742874</v>
      </c>
      <c r="L334" s="7">
        <v>950466</v>
      </c>
      <c r="M334" s="7">
        <v>12693340</v>
      </c>
      <c r="N334" s="8"/>
      <c r="O334" s="7">
        <f t="shared" si="5"/>
        <v>3831641</v>
      </c>
      <c r="P334" s="7">
        <v>11798522</v>
      </c>
      <c r="Q334" s="7">
        <v>1076104</v>
      </c>
      <c r="R334" s="7">
        <v>12874626</v>
      </c>
      <c r="S334" s="9">
        <v>1.0851376911430902E-2</v>
      </c>
      <c r="T334" s="10"/>
    </row>
    <row r="335" spans="1:20" customFormat="1">
      <c r="A335" s="12" t="s">
        <v>11</v>
      </c>
      <c r="B335" t="s">
        <v>643</v>
      </c>
      <c r="C335" t="s">
        <v>157</v>
      </c>
      <c r="D335" t="s">
        <v>126</v>
      </c>
      <c r="E335" t="s">
        <v>152</v>
      </c>
      <c r="F335" s="4"/>
      <c r="G335" s="7">
        <v>19397294</v>
      </c>
      <c r="H335" s="7">
        <v>19330547</v>
      </c>
      <c r="I335" s="8"/>
      <c r="J335" s="7">
        <v>4722003</v>
      </c>
      <c r="K335" s="7">
        <v>13574919</v>
      </c>
      <c r="L335" s="7">
        <v>1033625</v>
      </c>
      <c r="M335" s="7">
        <v>14608544</v>
      </c>
      <c r="N335" s="8"/>
      <c r="O335" s="7">
        <f t="shared" si="5"/>
        <v>4494961</v>
      </c>
      <c r="P335" s="7">
        <v>13648927</v>
      </c>
      <c r="Q335" s="7">
        <v>1186659</v>
      </c>
      <c r="R335" s="7">
        <v>14835586</v>
      </c>
      <c r="S335" s="9">
        <v>1.1745244456869223E-2</v>
      </c>
      <c r="T335" s="10"/>
    </row>
    <row r="336" spans="1:20" customFormat="1">
      <c r="A336" s="12" t="s">
        <v>178</v>
      </c>
      <c r="B336" t="s">
        <v>644</v>
      </c>
      <c r="C336" t="s">
        <v>154</v>
      </c>
      <c r="D336" t="s">
        <v>128</v>
      </c>
      <c r="E336" t="s">
        <v>152</v>
      </c>
      <c r="F336" s="4"/>
      <c r="G336" s="7">
        <v>21845330</v>
      </c>
      <c r="H336" s="7">
        <v>21844105</v>
      </c>
      <c r="I336" s="8"/>
      <c r="J336" s="7">
        <v>6604477</v>
      </c>
      <c r="K336" s="7">
        <v>14075341</v>
      </c>
      <c r="L336" s="7">
        <v>1164287</v>
      </c>
      <c r="M336" s="7">
        <v>15239628</v>
      </c>
      <c r="N336" s="8"/>
      <c r="O336" s="7">
        <f t="shared" si="5"/>
        <v>6373650</v>
      </c>
      <c r="P336" s="7">
        <v>14144123</v>
      </c>
      <c r="Q336" s="7">
        <v>1326332</v>
      </c>
      <c r="R336" s="7">
        <v>15470455</v>
      </c>
      <c r="S336" s="9">
        <v>1.0567015677685124E-2</v>
      </c>
      <c r="T336" s="10"/>
    </row>
    <row r="337" spans="1:20" customFormat="1">
      <c r="A337" s="12" t="s">
        <v>71</v>
      </c>
      <c r="B337" t="s">
        <v>646</v>
      </c>
      <c r="C337" t="s">
        <v>155</v>
      </c>
      <c r="D337" t="s">
        <v>128</v>
      </c>
      <c r="E337" t="s">
        <v>152</v>
      </c>
      <c r="F337" s="4"/>
      <c r="G337" s="7">
        <v>25223236</v>
      </c>
      <c r="H337" s="7">
        <v>24595403</v>
      </c>
      <c r="I337" s="8"/>
      <c r="J337" s="7">
        <v>8869614</v>
      </c>
      <c r="K337" s="7">
        <v>14617047</v>
      </c>
      <c r="L337" s="7">
        <v>1108742</v>
      </c>
      <c r="M337" s="7">
        <v>15725789</v>
      </c>
      <c r="N337" s="8"/>
      <c r="O337" s="7">
        <f t="shared" si="5"/>
        <v>8609981</v>
      </c>
      <c r="P337" s="7">
        <v>14709008</v>
      </c>
      <c r="Q337" s="7">
        <v>1276414</v>
      </c>
      <c r="R337" s="7">
        <v>15985422</v>
      </c>
      <c r="S337" s="9">
        <v>1.0556159620559988E-2</v>
      </c>
      <c r="T337" s="10"/>
    </row>
    <row r="338" spans="1:20" customFormat="1">
      <c r="A338" s="12" t="s">
        <v>283</v>
      </c>
      <c r="B338" t="s">
        <v>647</v>
      </c>
      <c r="C338" t="s">
        <v>122</v>
      </c>
      <c r="D338" t="s">
        <v>128</v>
      </c>
      <c r="E338" t="s">
        <v>151</v>
      </c>
      <c r="F338" s="4"/>
      <c r="G338" s="7">
        <v>15109150</v>
      </c>
      <c r="H338" s="7">
        <v>14893052</v>
      </c>
      <c r="I338" s="8"/>
      <c r="J338" s="7">
        <v>4252215</v>
      </c>
      <c r="K338" s="7">
        <v>9932500</v>
      </c>
      <c r="L338" s="7">
        <v>708337</v>
      </c>
      <c r="M338" s="7">
        <v>10640837</v>
      </c>
      <c r="N338" s="8"/>
      <c r="O338" s="7">
        <f t="shared" si="5"/>
        <v>4088627</v>
      </c>
      <c r="P338" s="7">
        <v>9983512</v>
      </c>
      <c r="Q338" s="7">
        <v>820913</v>
      </c>
      <c r="R338" s="7">
        <v>10804425</v>
      </c>
      <c r="S338" s="9">
        <v>1.0984182422783456E-2</v>
      </c>
      <c r="T338" s="10"/>
    </row>
    <row r="339" spans="1:20" customFormat="1">
      <c r="A339" s="12" t="s">
        <v>194</v>
      </c>
      <c r="B339" t="s">
        <v>648</v>
      </c>
      <c r="C339" t="s">
        <v>154</v>
      </c>
      <c r="D339" t="s">
        <v>128</v>
      </c>
      <c r="E339" t="s">
        <v>152</v>
      </c>
      <c r="F339" s="4"/>
      <c r="G339" s="7">
        <v>31784140</v>
      </c>
      <c r="H339" s="7">
        <v>31780639</v>
      </c>
      <c r="I339" s="8"/>
      <c r="J339" s="7">
        <v>10363257</v>
      </c>
      <c r="K339" s="7">
        <v>19939776</v>
      </c>
      <c r="L339" s="7">
        <v>1477606</v>
      </c>
      <c r="M339" s="7">
        <v>21417382</v>
      </c>
      <c r="N339" s="8"/>
      <c r="O339" s="7">
        <f t="shared" si="5"/>
        <v>10055846</v>
      </c>
      <c r="P339" s="7">
        <v>20023529</v>
      </c>
      <c r="Q339" s="7">
        <v>1701264</v>
      </c>
      <c r="R339" s="7">
        <v>21724793</v>
      </c>
      <c r="S339" s="9">
        <v>9.6729017940765764E-3</v>
      </c>
      <c r="T339" s="10"/>
    </row>
    <row r="340" spans="1:20" customFormat="1">
      <c r="A340" s="12" t="s">
        <v>211</v>
      </c>
      <c r="B340" t="s">
        <v>649</v>
      </c>
      <c r="C340" t="s">
        <v>154</v>
      </c>
      <c r="D340" t="s">
        <v>128</v>
      </c>
      <c r="E340" t="s">
        <v>152</v>
      </c>
      <c r="F340" s="4"/>
      <c r="G340" s="7">
        <v>38059920</v>
      </c>
      <c r="H340" s="7">
        <v>38055590</v>
      </c>
      <c r="I340" s="8"/>
      <c r="J340" s="7">
        <v>13560017</v>
      </c>
      <c r="K340" s="7">
        <v>22908431</v>
      </c>
      <c r="L340" s="7">
        <v>1587142</v>
      </c>
      <c r="M340" s="7">
        <v>24495573</v>
      </c>
      <c r="N340" s="8"/>
      <c r="O340" s="7">
        <f t="shared" si="5"/>
        <v>13187899</v>
      </c>
      <c r="P340" s="7">
        <v>23006561</v>
      </c>
      <c r="Q340" s="7">
        <v>1861130</v>
      </c>
      <c r="R340" s="7">
        <v>24867691</v>
      </c>
      <c r="S340" s="9">
        <v>9.778274361269922E-3</v>
      </c>
      <c r="T340" s="10"/>
    </row>
    <row r="341" spans="1:20" customFormat="1">
      <c r="A341" s="12" t="s">
        <v>212</v>
      </c>
      <c r="B341" t="s">
        <v>650</v>
      </c>
      <c r="C341" t="s">
        <v>154</v>
      </c>
      <c r="D341" t="s">
        <v>128</v>
      </c>
      <c r="E341" t="s">
        <v>152</v>
      </c>
      <c r="F341" s="4"/>
      <c r="G341" s="7">
        <v>37638594</v>
      </c>
      <c r="H341" s="7">
        <v>37635895</v>
      </c>
      <c r="I341" s="8"/>
      <c r="J341" s="7">
        <v>12421284</v>
      </c>
      <c r="K341" s="7">
        <v>23154068</v>
      </c>
      <c r="L341" s="7">
        <v>2060543</v>
      </c>
      <c r="M341" s="7">
        <v>25214611</v>
      </c>
      <c r="N341" s="8"/>
      <c r="O341" s="7">
        <f t="shared" si="5"/>
        <v>12015773</v>
      </c>
      <c r="P341" s="7">
        <v>23289935</v>
      </c>
      <c r="Q341" s="7">
        <v>2330187</v>
      </c>
      <c r="R341" s="7">
        <v>25620122</v>
      </c>
      <c r="S341" s="9">
        <v>1.0774581021654992E-2</v>
      </c>
      <c r="T341" s="10"/>
    </row>
    <row r="342" spans="1:20" customFormat="1">
      <c r="A342" s="12" t="s">
        <v>82</v>
      </c>
      <c r="B342" t="s">
        <v>651</v>
      </c>
      <c r="C342" t="s">
        <v>155</v>
      </c>
      <c r="D342" t="s">
        <v>128</v>
      </c>
      <c r="E342" t="s">
        <v>152</v>
      </c>
      <c r="F342" s="4"/>
      <c r="G342" s="7">
        <v>23999606</v>
      </c>
      <c r="H342" s="7">
        <v>23163688</v>
      </c>
      <c r="I342" s="8"/>
      <c r="J342" s="7">
        <v>5548394</v>
      </c>
      <c r="K342" s="7">
        <v>16404440</v>
      </c>
      <c r="L342" s="7">
        <v>1210854</v>
      </c>
      <c r="M342" s="7">
        <v>17615294</v>
      </c>
      <c r="N342" s="8"/>
      <c r="O342" s="7">
        <f t="shared" si="5"/>
        <v>5283877</v>
      </c>
      <c r="P342" s="7">
        <v>16481017</v>
      </c>
      <c r="Q342" s="7">
        <v>1398794</v>
      </c>
      <c r="R342" s="7">
        <v>17879811</v>
      </c>
      <c r="S342" s="9">
        <v>1.1419468264293665E-2</v>
      </c>
      <c r="T342" s="10"/>
    </row>
    <row r="343" spans="1:20" customFormat="1">
      <c r="A343" s="12" t="s">
        <v>333</v>
      </c>
      <c r="B343" t="s">
        <v>652</v>
      </c>
      <c r="C343" t="s">
        <v>123</v>
      </c>
      <c r="D343" t="s">
        <v>126</v>
      </c>
      <c r="E343" t="s">
        <v>152</v>
      </c>
      <c r="F343" s="4"/>
      <c r="G343" s="7">
        <v>16745662</v>
      </c>
      <c r="H343" s="7">
        <v>16679705</v>
      </c>
      <c r="I343" s="8"/>
      <c r="J343" s="7">
        <v>4943433</v>
      </c>
      <c r="K343" s="7">
        <v>10903260</v>
      </c>
      <c r="L343" s="7">
        <v>833012</v>
      </c>
      <c r="M343" s="7">
        <v>11736272</v>
      </c>
      <c r="N343" s="8"/>
      <c r="O343" s="7">
        <f t="shared" si="5"/>
        <v>4760692</v>
      </c>
      <c r="P343" s="7">
        <v>10960119</v>
      </c>
      <c r="Q343" s="7">
        <v>958894</v>
      </c>
      <c r="R343" s="7">
        <v>11919013</v>
      </c>
      <c r="S343" s="9">
        <v>1.0955889207872681E-2</v>
      </c>
      <c r="T343" s="10"/>
    </row>
    <row r="344" spans="1:20" customFormat="1">
      <c r="A344" s="12" t="s">
        <v>516</v>
      </c>
      <c r="B344" t="s">
        <v>656</v>
      </c>
      <c r="C344" t="s">
        <v>157</v>
      </c>
      <c r="D344" t="s">
        <v>128</v>
      </c>
      <c r="E344" t="s">
        <v>152</v>
      </c>
      <c r="F344" s="4"/>
      <c r="G344" s="7">
        <v>17243458</v>
      </c>
      <c r="H344" s="7">
        <v>16992016</v>
      </c>
      <c r="I344" s="8"/>
      <c r="J344" s="7">
        <v>4588736</v>
      </c>
      <c r="K344" s="7">
        <v>11543913</v>
      </c>
      <c r="L344" s="7">
        <v>859367</v>
      </c>
      <c r="M344" s="7">
        <v>12403280</v>
      </c>
      <c r="N344" s="8"/>
      <c r="O344" s="7">
        <f t="shared" si="5"/>
        <v>4389060</v>
      </c>
      <c r="P344" s="7">
        <v>11609394</v>
      </c>
      <c r="Q344" s="7">
        <v>993562</v>
      </c>
      <c r="R344" s="7">
        <v>12602956</v>
      </c>
      <c r="S344" s="9">
        <v>1.1751165959354087E-2</v>
      </c>
      <c r="T344" s="10"/>
    </row>
    <row r="345" spans="1:20" customFormat="1">
      <c r="A345" s="12" t="s">
        <v>183</v>
      </c>
      <c r="B345" t="s">
        <v>658</v>
      </c>
      <c r="C345" t="s">
        <v>154</v>
      </c>
      <c r="D345" t="s">
        <v>128</v>
      </c>
      <c r="E345" t="s">
        <v>152</v>
      </c>
      <c r="F345" s="4"/>
      <c r="G345" s="7">
        <v>15503330</v>
      </c>
      <c r="H345" s="7">
        <v>15502110</v>
      </c>
      <c r="I345" s="8"/>
      <c r="J345" s="7">
        <v>4975273</v>
      </c>
      <c r="K345" s="7">
        <v>9779522</v>
      </c>
      <c r="L345" s="7">
        <v>747315</v>
      </c>
      <c r="M345" s="7">
        <v>10526837</v>
      </c>
      <c r="N345" s="8"/>
      <c r="O345" s="7">
        <f t="shared" si="5"/>
        <v>4814462</v>
      </c>
      <c r="P345" s="7">
        <v>9823209</v>
      </c>
      <c r="Q345" s="7">
        <v>864439</v>
      </c>
      <c r="R345" s="7">
        <v>10687648</v>
      </c>
      <c r="S345" s="9">
        <v>1.0373491092502891E-2</v>
      </c>
      <c r="T345" s="10"/>
    </row>
    <row r="346" spans="1:20" customFormat="1">
      <c r="A346" s="12" t="s">
        <v>181</v>
      </c>
      <c r="C346" t="s">
        <v>154</v>
      </c>
      <c r="D346" t="s">
        <v>128</v>
      </c>
      <c r="E346" t="s">
        <v>152</v>
      </c>
      <c r="F346" s="4"/>
      <c r="G346" s="7">
        <v>38809274</v>
      </c>
      <c r="H346" s="7">
        <v>38806396</v>
      </c>
      <c r="I346" s="8"/>
      <c r="J346" s="7">
        <v>11862521</v>
      </c>
      <c r="K346" s="7">
        <v>24729255</v>
      </c>
      <c r="L346" s="7">
        <v>2214620</v>
      </c>
      <c r="M346" s="7">
        <v>26943875</v>
      </c>
      <c r="N346" s="8"/>
      <c r="O346" s="7">
        <f t="shared" si="5"/>
        <v>11463087</v>
      </c>
      <c r="P346" s="7">
        <v>24840563</v>
      </c>
      <c r="Q346" s="7">
        <v>2502746</v>
      </c>
      <c r="R346" s="7">
        <v>27343309</v>
      </c>
      <c r="S346" s="9">
        <v>1.0292993969344641E-2</v>
      </c>
      <c r="T346" s="10"/>
    </row>
    <row r="347" spans="1:20" customFormat="1">
      <c r="A347" s="12" t="s">
        <v>359</v>
      </c>
      <c r="C347" t="s">
        <v>123</v>
      </c>
      <c r="D347" t="s">
        <v>128</v>
      </c>
      <c r="E347" t="s">
        <v>152</v>
      </c>
      <c r="F347" s="4"/>
      <c r="G347" s="7">
        <v>20488066</v>
      </c>
      <c r="H347" s="7">
        <v>20067562</v>
      </c>
      <c r="I347" s="8"/>
      <c r="J347" s="7">
        <v>5163044</v>
      </c>
      <c r="K347" s="7">
        <v>13754883</v>
      </c>
      <c r="L347" s="7">
        <v>1149635</v>
      </c>
      <c r="M347" s="7">
        <v>14904518</v>
      </c>
      <c r="N347" s="8"/>
      <c r="O347" s="7">
        <f t="shared" si="5"/>
        <v>4922223</v>
      </c>
      <c r="P347" s="7">
        <v>13843860</v>
      </c>
      <c r="Q347" s="7">
        <v>1301479</v>
      </c>
      <c r="R347" s="7">
        <v>15145339</v>
      </c>
      <c r="S347" s="9">
        <v>1.2000511073542466E-2</v>
      </c>
      <c r="T347" s="10"/>
    </row>
    <row r="348" spans="1:20" customFormat="1">
      <c r="A348" s="12" t="s">
        <v>472</v>
      </c>
      <c r="B348" t="s">
        <v>659</v>
      </c>
      <c r="C348" t="s">
        <v>157</v>
      </c>
      <c r="D348" t="s">
        <v>126</v>
      </c>
      <c r="E348" t="s">
        <v>152</v>
      </c>
      <c r="F348" s="4"/>
      <c r="G348" s="7">
        <v>22186712</v>
      </c>
      <c r="H348" s="7">
        <v>22118153</v>
      </c>
      <c r="I348" s="8"/>
      <c r="J348" s="7">
        <v>4987896</v>
      </c>
      <c r="K348" s="7">
        <v>15844054</v>
      </c>
      <c r="L348" s="7">
        <v>1286203</v>
      </c>
      <c r="M348" s="7">
        <v>17130257</v>
      </c>
      <c r="N348" s="8"/>
      <c r="O348" s="7">
        <f t="shared" si="5"/>
        <v>4727705</v>
      </c>
      <c r="P348" s="7">
        <v>15926273</v>
      </c>
      <c r="Q348" s="7">
        <v>1464175</v>
      </c>
      <c r="R348" s="7">
        <v>17390448</v>
      </c>
      <c r="S348" s="9">
        <v>1.1763685692923817E-2</v>
      </c>
      <c r="T348" s="10"/>
    </row>
    <row r="349" spans="1:20" customFormat="1">
      <c r="A349" s="12" t="s">
        <v>523</v>
      </c>
      <c r="B349" t="s">
        <v>969</v>
      </c>
      <c r="C349" t="s">
        <v>157</v>
      </c>
      <c r="D349" t="s">
        <v>128</v>
      </c>
      <c r="E349" t="s">
        <v>152</v>
      </c>
      <c r="F349" s="4"/>
      <c r="G349" s="7">
        <v>23335890</v>
      </c>
      <c r="H349" s="7">
        <v>23260359</v>
      </c>
      <c r="I349" s="8"/>
      <c r="J349" s="7">
        <v>6402863</v>
      </c>
      <c r="K349" s="7">
        <v>15699139</v>
      </c>
      <c r="L349" s="7">
        <v>1158357</v>
      </c>
      <c r="M349" s="7">
        <v>16857496</v>
      </c>
      <c r="N349" s="8"/>
      <c r="O349" s="7">
        <f t="shared" si="5"/>
        <v>6158880</v>
      </c>
      <c r="P349" s="7">
        <v>15764344</v>
      </c>
      <c r="Q349" s="7">
        <v>1337135</v>
      </c>
      <c r="R349" s="7">
        <v>17101479</v>
      </c>
      <c r="S349" s="9">
        <v>1.0489219018502681E-2</v>
      </c>
      <c r="T349" s="10"/>
    </row>
    <row r="350" spans="1:20" customFormat="1">
      <c r="A350" s="12" t="s">
        <v>524</v>
      </c>
      <c r="B350" t="s">
        <v>536</v>
      </c>
      <c r="C350" t="s">
        <v>155</v>
      </c>
      <c r="D350" t="s">
        <v>128</v>
      </c>
      <c r="E350" t="s">
        <v>151</v>
      </c>
      <c r="F350" s="4"/>
      <c r="G350" s="7">
        <v>14953092</v>
      </c>
      <c r="H350" s="7">
        <v>14607414</v>
      </c>
      <c r="I350" s="8"/>
      <c r="J350" s="7">
        <v>3552952</v>
      </c>
      <c r="K350" s="7">
        <v>10255417</v>
      </c>
      <c r="L350" s="7">
        <v>799045</v>
      </c>
      <c r="M350" s="7">
        <v>11054462</v>
      </c>
      <c r="N350" s="8"/>
      <c r="O350" s="7">
        <f t="shared" si="5"/>
        <v>3378188</v>
      </c>
      <c r="P350" s="7">
        <v>10311788</v>
      </c>
      <c r="Q350" s="7">
        <v>917438</v>
      </c>
      <c r="R350" s="7">
        <v>11229226</v>
      </c>
      <c r="S350" s="9">
        <v>1.1964061537517865E-2</v>
      </c>
      <c r="T350" s="10"/>
    </row>
    <row r="351" spans="1:20" customFormat="1">
      <c r="A351" s="12" t="s">
        <v>520</v>
      </c>
      <c r="B351" t="s">
        <v>970</v>
      </c>
      <c r="C351" t="s">
        <v>154</v>
      </c>
      <c r="D351" t="s">
        <v>128</v>
      </c>
      <c r="E351" t="s">
        <v>151</v>
      </c>
      <c r="F351" s="4"/>
      <c r="G351" s="7">
        <v>12408602</v>
      </c>
      <c r="H351" s="7">
        <v>12407254</v>
      </c>
      <c r="I351" s="8"/>
      <c r="J351" s="7">
        <v>3574057</v>
      </c>
      <c r="K351" s="7">
        <v>8239066</v>
      </c>
      <c r="L351" s="7">
        <v>594131</v>
      </c>
      <c r="M351" s="7">
        <v>8833197</v>
      </c>
      <c r="N351" s="8"/>
      <c r="O351" s="7">
        <f t="shared" si="5"/>
        <v>3428360</v>
      </c>
      <c r="P351" s="7">
        <v>8289101</v>
      </c>
      <c r="Q351" s="7">
        <v>689793</v>
      </c>
      <c r="R351" s="7">
        <v>8978894</v>
      </c>
      <c r="S351" s="9">
        <v>1.1742888474758396E-2</v>
      </c>
      <c r="T351" s="10"/>
    </row>
    <row r="352" spans="1:20" customFormat="1">
      <c r="A352" s="12" t="s">
        <v>521</v>
      </c>
      <c r="B352" t="s">
        <v>971</v>
      </c>
      <c r="C352" t="s">
        <v>157</v>
      </c>
      <c r="D352" t="s">
        <v>128</v>
      </c>
      <c r="E352" t="s">
        <v>152</v>
      </c>
      <c r="F352" s="4"/>
      <c r="G352" s="7">
        <v>25960592</v>
      </c>
      <c r="H352" s="7">
        <v>25816264</v>
      </c>
      <c r="I352" s="8"/>
      <c r="J352" s="7">
        <v>7046778</v>
      </c>
      <c r="K352" s="7">
        <v>17496798</v>
      </c>
      <c r="L352" s="7">
        <v>1272688</v>
      </c>
      <c r="M352" s="7">
        <v>18769486</v>
      </c>
      <c r="N352" s="8"/>
      <c r="O352" s="7">
        <f t="shared" si="5"/>
        <v>6745896</v>
      </c>
      <c r="P352" s="7">
        <v>17594443</v>
      </c>
      <c r="Q352" s="7">
        <v>1475925</v>
      </c>
      <c r="R352" s="7">
        <v>19070368</v>
      </c>
      <c r="S352" s="9">
        <v>1.1654746015922366E-2</v>
      </c>
      <c r="T352" s="10"/>
    </row>
    <row r="353" spans="1:20" customFormat="1">
      <c r="A353" s="12" t="s">
        <v>528</v>
      </c>
      <c r="B353" t="s">
        <v>972</v>
      </c>
      <c r="C353" t="s">
        <v>154</v>
      </c>
      <c r="D353" t="s">
        <v>128</v>
      </c>
      <c r="E353" t="s">
        <v>152</v>
      </c>
      <c r="F353" s="4"/>
      <c r="G353" s="7">
        <v>117930516</v>
      </c>
      <c r="H353" s="7">
        <v>117904141</v>
      </c>
      <c r="I353" s="8"/>
      <c r="J353" s="7">
        <v>45534595</v>
      </c>
      <c r="K353" s="7">
        <v>67118773</v>
      </c>
      <c r="L353" s="7">
        <v>5250773</v>
      </c>
      <c r="M353" s="7">
        <v>72369546</v>
      </c>
      <c r="N353" s="8"/>
      <c r="O353" s="7">
        <f t="shared" si="5"/>
        <v>44372158</v>
      </c>
      <c r="P353" s="7">
        <v>67475302</v>
      </c>
      <c r="Q353" s="7">
        <v>6056681</v>
      </c>
      <c r="R353" s="7">
        <v>73531983</v>
      </c>
      <c r="S353" s="9">
        <v>9.8591702559454632E-3</v>
      </c>
      <c r="T353" s="10"/>
    </row>
    <row r="354" spans="1:20" customFormat="1">
      <c r="A354" s="12" t="s">
        <v>526</v>
      </c>
      <c r="B354" t="s">
        <v>973</v>
      </c>
      <c r="C354" t="s">
        <v>154</v>
      </c>
      <c r="D354" t="s">
        <v>128</v>
      </c>
      <c r="E354" t="s">
        <v>151</v>
      </c>
      <c r="F354" s="4"/>
      <c r="G354" s="7">
        <v>11294820</v>
      </c>
      <c r="H354" s="7">
        <v>11293812</v>
      </c>
      <c r="I354" s="8"/>
      <c r="J354" s="7">
        <v>3713264</v>
      </c>
      <c r="K354" s="7">
        <v>7083835</v>
      </c>
      <c r="L354" s="7">
        <v>496713</v>
      </c>
      <c r="M354" s="7">
        <v>7580548</v>
      </c>
      <c r="N354" s="8"/>
      <c r="O354" s="7">
        <f t="shared" si="5"/>
        <v>3598076</v>
      </c>
      <c r="P354" s="7">
        <v>7116765</v>
      </c>
      <c r="Q354" s="7">
        <v>578971</v>
      </c>
      <c r="R354" s="7">
        <v>7695736</v>
      </c>
      <c r="S354" s="9">
        <v>1.0199213516215782E-2</v>
      </c>
      <c r="T354" s="10"/>
    </row>
    <row r="355" spans="1:20" customFormat="1">
      <c r="A355" s="12" t="s">
        <v>466</v>
      </c>
      <c r="B355" t="s">
        <v>660</v>
      </c>
      <c r="C355" t="s">
        <v>157</v>
      </c>
      <c r="D355" t="s">
        <v>126</v>
      </c>
      <c r="E355" t="s">
        <v>152</v>
      </c>
      <c r="F355" s="4"/>
      <c r="G355" s="7">
        <v>17759876</v>
      </c>
      <c r="H355" s="7">
        <v>17684212</v>
      </c>
      <c r="I355" s="8"/>
      <c r="J355" s="7">
        <v>5130269</v>
      </c>
      <c r="K355" s="7">
        <v>11635412</v>
      </c>
      <c r="L355" s="7">
        <v>918531</v>
      </c>
      <c r="M355" s="7">
        <v>12553943</v>
      </c>
      <c r="N355" s="8"/>
      <c r="O355" s="7">
        <f t="shared" si="5"/>
        <v>4933268</v>
      </c>
      <c r="P355" s="7">
        <v>11700302</v>
      </c>
      <c r="Q355" s="7">
        <v>1050642</v>
      </c>
      <c r="R355" s="7">
        <v>12750944</v>
      </c>
      <c r="S355" s="9">
        <v>1.1139936571671952E-2</v>
      </c>
      <c r="T355" s="10"/>
    </row>
    <row r="356" spans="1:20" customFormat="1">
      <c r="A356" s="12" t="s">
        <v>489</v>
      </c>
      <c r="B356" t="s">
        <v>661</v>
      </c>
      <c r="C356" t="s">
        <v>158</v>
      </c>
      <c r="D356" t="s">
        <v>128</v>
      </c>
      <c r="E356" t="s">
        <v>152</v>
      </c>
      <c r="F356" s="4"/>
      <c r="G356" s="7">
        <v>18598456</v>
      </c>
      <c r="H356" s="7">
        <v>18270114</v>
      </c>
      <c r="I356" s="8"/>
      <c r="J356" s="7">
        <v>4949253</v>
      </c>
      <c r="K356" s="7">
        <v>12384383</v>
      </c>
      <c r="L356" s="7">
        <v>936478</v>
      </c>
      <c r="M356" s="7">
        <v>13320861</v>
      </c>
      <c r="N356" s="8"/>
      <c r="O356" s="7">
        <f t="shared" si="5"/>
        <v>4719397</v>
      </c>
      <c r="P356" s="7">
        <v>12470767</v>
      </c>
      <c r="Q356" s="7">
        <v>1079950</v>
      </c>
      <c r="R356" s="7">
        <v>13550717</v>
      </c>
      <c r="S356" s="9">
        <v>1.2580983347996625E-2</v>
      </c>
      <c r="T356" s="10"/>
    </row>
    <row r="357" spans="1:20" customFormat="1">
      <c r="A357" s="12" t="s">
        <v>490</v>
      </c>
      <c r="B357" t="s">
        <v>662</v>
      </c>
      <c r="C357" t="s">
        <v>155</v>
      </c>
      <c r="D357" t="s">
        <v>128</v>
      </c>
      <c r="E357" t="s">
        <v>152</v>
      </c>
      <c r="F357" s="4"/>
      <c r="G357" s="7">
        <v>25171224</v>
      </c>
      <c r="H357" s="7">
        <v>24613390</v>
      </c>
      <c r="I357" s="8"/>
      <c r="J357" s="7">
        <v>5829433</v>
      </c>
      <c r="K357" s="7">
        <v>17509161</v>
      </c>
      <c r="L357" s="7">
        <v>1274796</v>
      </c>
      <c r="M357" s="7">
        <v>18783957</v>
      </c>
      <c r="N357" s="8"/>
      <c r="O357" s="7">
        <f t="shared" si="5"/>
        <v>5536477</v>
      </c>
      <c r="P357" s="7">
        <v>17603854</v>
      </c>
      <c r="Q357" s="7">
        <v>1473059</v>
      </c>
      <c r="R357" s="7">
        <v>19076913</v>
      </c>
      <c r="S357" s="9">
        <v>1.1902301958405567E-2</v>
      </c>
      <c r="T357" s="10"/>
    </row>
    <row r="358" spans="1:20" customFormat="1">
      <c r="A358" s="12" t="s">
        <v>175</v>
      </c>
      <c r="B358" t="s">
        <v>664</v>
      </c>
      <c r="C358" t="s">
        <v>154</v>
      </c>
      <c r="D358" t="s">
        <v>128</v>
      </c>
      <c r="E358" t="s">
        <v>152</v>
      </c>
      <c r="F358" s="4"/>
      <c r="G358" s="7">
        <v>26728294</v>
      </c>
      <c r="H358" s="7">
        <v>26726511</v>
      </c>
      <c r="I358" s="8"/>
      <c r="J358" s="7">
        <v>6685312</v>
      </c>
      <c r="K358" s="7">
        <v>18655120</v>
      </c>
      <c r="L358" s="7">
        <v>1386079</v>
      </c>
      <c r="M358" s="7">
        <v>20041199</v>
      </c>
      <c r="N358" s="8"/>
      <c r="O358" s="7">
        <f t="shared" si="5"/>
        <v>6366892</v>
      </c>
      <c r="P358" s="7">
        <v>18750009</v>
      </c>
      <c r="Q358" s="7">
        <v>1609610</v>
      </c>
      <c r="R358" s="7">
        <v>20359619</v>
      </c>
      <c r="S358" s="9">
        <v>1.1914013018758789E-2</v>
      </c>
      <c r="T358" s="10"/>
    </row>
    <row r="359" spans="1:20" customFormat="1">
      <c r="A359" s="12" t="s">
        <v>168</v>
      </c>
      <c r="B359" t="s">
        <v>666</v>
      </c>
      <c r="C359" t="s">
        <v>155</v>
      </c>
      <c r="D359" t="s">
        <v>128</v>
      </c>
      <c r="E359" t="s">
        <v>152</v>
      </c>
      <c r="F359" s="4"/>
      <c r="G359" s="7">
        <v>26548810</v>
      </c>
      <c r="H359" s="7">
        <v>26414568</v>
      </c>
      <c r="I359" s="8"/>
      <c r="J359" s="7">
        <v>6571076</v>
      </c>
      <c r="K359" s="7">
        <v>18449574</v>
      </c>
      <c r="L359" s="7">
        <v>1393918</v>
      </c>
      <c r="M359" s="7">
        <v>19843492</v>
      </c>
      <c r="N359" s="8"/>
      <c r="O359" s="7">
        <f t="shared" si="5"/>
        <v>6256761</v>
      </c>
      <c r="P359" s="7">
        <v>18548792</v>
      </c>
      <c r="Q359" s="7">
        <v>1609015</v>
      </c>
      <c r="R359" s="7">
        <v>20157807</v>
      </c>
      <c r="S359" s="9">
        <v>1.1899304959293675E-2</v>
      </c>
      <c r="T359" s="10"/>
    </row>
    <row r="360" spans="1:20" customFormat="1">
      <c r="A360" s="12" t="s">
        <v>339</v>
      </c>
      <c r="B360" t="s">
        <v>666</v>
      </c>
      <c r="C360" t="s">
        <v>123</v>
      </c>
      <c r="D360" t="s">
        <v>126</v>
      </c>
      <c r="E360" t="s">
        <v>152</v>
      </c>
      <c r="F360" s="4"/>
      <c r="G360" s="7">
        <v>18842296</v>
      </c>
      <c r="H360" s="7">
        <v>18764826</v>
      </c>
      <c r="I360" s="8"/>
      <c r="J360" s="7">
        <v>4694794</v>
      </c>
      <c r="K360" s="7">
        <v>13058486</v>
      </c>
      <c r="L360" s="7">
        <v>1011546</v>
      </c>
      <c r="M360" s="7">
        <v>14070032</v>
      </c>
      <c r="N360" s="8"/>
      <c r="O360" s="7">
        <f t="shared" si="5"/>
        <v>4467580</v>
      </c>
      <c r="P360" s="7">
        <v>13135955</v>
      </c>
      <c r="Q360" s="7">
        <v>1161291</v>
      </c>
      <c r="R360" s="7">
        <v>14297246</v>
      </c>
      <c r="S360" s="9">
        <v>1.2108505562481634E-2</v>
      </c>
      <c r="T360" s="10"/>
    </row>
    <row r="361" spans="1:20" customFormat="1">
      <c r="A361" s="12" t="s">
        <v>191</v>
      </c>
      <c r="B361" t="s">
        <v>673</v>
      </c>
      <c r="C361" t="s">
        <v>154</v>
      </c>
      <c r="D361" t="s">
        <v>128</v>
      </c>
      <c r="E361" t="s">
        <v>152</v>
      </c>
      <c r="F361" s="4"/>
      <c r="G361" s="7">
        <v>18233960</v>
      </c>
      <c r="H361" s="7">
        <v>18232720</v>
      </c>
      <c r="I361" s="8"/>
      <c r="J361" s="7">
        <v>5882979</v>
      </c>
      <c r="K361" s="7">
        <v>11460962</v>
      </c>
      <c r="L361" s="7">
        <v>888779</v>
      </c>
      <c r="M361" s="7">
        <v>12349741</v>
      </c>
      <c r="N361" s="8"/>
      <c r="O361" s="7">
        <f t="shared" si="5"/>
        <v>5703820</v>
      </c>
      <c r="P361" s="7">
        <v>11513071</v>
      </c>
      <c r="Q361" s="7">
        <v>1015829</v>
      </c>
      <c r="R361" s="7">
        <v>12528900</v>
      </c>
      <c r="S361" s="9">
        <v>9.8262354711748986E-3</v>
      </c>
      <c r="T361" s="10"/>
    </row>
    <row r="362" spans="1:20" customFormat="1">
      <c r="A362" s="12" t="s">
        <v>262</v>
      </c>
      <c r="B362" t="s">
        <v>963</v>
      </c>
      <c r="C362" t="s">
        <v>158</v>
      </c>
      <c r="D362" t="s">
        <v>128</v>
      </c>
      <c r="E362" t="s">
        <v>152</v>
      </c>
      <c r="F362" s="4"/>
      <c r="G362" s="7">
        <v>26506548</v>
      </c>
      <c r="H362" s="7">
        <v>26427648</v>
      </c>
      <c r="I362" s="8"/>
      <c r="J362" s="7">
        <v>6162275</v>
      </c>
      <c r="K362" s="7">
        <v>18871030</v>
      </c>
      <c r="L362" s="7">
        <v>1394343</v>
      </c>
      <c r="M362" s="7">
        <v>20265373</v>
      </c>
      <c r="N362" s="8"/>
      <c r="O362" s="7">
        <f t="shared" si="5"/>
        <v>5851072</v>
      </c>
      <c r="P362" s="7">
        <v>18974274</v>
      </c>
      <c r="Q362" s="7">
        <v>1602302</v>
      </c>
      <c r="R362" s="7">
        <v>20576576</v>
      </c>
      <c r="S362" s="9">
        <v>1.1775660096577645E-2</v>
      </c>
      <c r="T362" s="10"/>
    </row>
    <row r="363" spans="1:20" customFormat="1">
      <c r="A363" s="12" t="s">
        <v>215</v>
      </c>
      <c r="B363" t="s">
        <v>964</v>
      </c>
      <c r="C363" t="s">
        <v>154</v>
      </c>
      <c r="D363" t="s">
        <v>128</v>
      </c>
      <c r="E363" t="s">
        <v>152</v>
      </c>
      <c r="F363" s="4"/>
      <c r="G363" s="7">
        <v>15332152</v>
      </c>
      <c r="H363" s="7">
        <v>15330895</v>
      </c>
      <c r="I363" s="8"/>
      <c r="J363" s="7">
        <v>5022245</v>
      </c>
      <c r="K363" s="7">
        <v>9534106</v>
      </c>
      <c r="L363" s="7">
        <v>774544</v>
      </c>
      <c r="M363" s="7">
        <v>10308650</v>
      </c>
      <c r="N363" s="8"/>
      <c r="O363" s="7">
        <f t="shared" si="5"/>
        <v>4870627</v>
      </c>
      <c r="P363" s="7">
        <v>9576678</v>
      </c>
      <c r="Q363" s="7">
        <v>883590</v>
      </c>
      <c r="R363" s="7">
        <v>10460268</v>
      </c>
      <c r="S363" s="9">
        <v>9.8897031125710529E-3</v>
      </c>
      <c r="T363" s="10"/>
    </row>
    <row r="364" spans="1:20" customFormat="1">
      <c r="A364" s="12" t="s">
        <v>358</v>
      </c>
      <c r="B364" t="s">
        <v>674</v>
      </c>
      <c r="C364" t="s">
        <v>123</v>
      </c>
      <c r="D364" t="s">
        <v>128</v>
      </c>
      <c r="E364" t="s">
        <v>152</v>
      </c>
      <c r="F364" s="4"/>
      <c r="G364" s="7">
        <v>23044018</v>
      </c>
      <c r="H364" s="7">
        <v>22962133</v>
      </c>
      <c r="I364" s="8"/>
      <c r="J364" s="7">
        <v>5335304</v>
      </c>
      <c r="K364" s="7">
        <v>16308401</v>
      </c>
      <c r="L364" s="7">
        <v>1318428</v>
      </c>
      <c r="M364" s="7">
        <v>17626829</v>
      </c>
      <c r="N364" s="8"/>
      <c r="O364" s="7">
        <f t="shared" si="5"/>
        <v>5070009</v>
      </c>
      <c r="P364" s="7">
        <v>16389664</v>
      </c>
      <c r="Q364" s="7">
        <v>1502460</v>
      </c>
      <c r="R364" s="7">
        <v>17892124</v>
      </c>
      <c r="S364" s="9">
        <v>1.1553586942467409E-2</v>
      </c>
      <c r="T364" s="10"/>
    </row>
    <row r="365" spans="1:20" customFormat="1">
      <c r="A365" s="12" t="s">
        <v>197</v>
      </c>
      <c r="B365" t="s">
        <v>675</v>
      </c>
      <c r="C365" t="s">
        <v>154</v>
      </c>
      <c r="D365" t="s">
        <v>128</v>
      </c>
      <c r="E365" t="s">
        <v>152</v>
      </c>
      <c r="F365" s="4"/>
      <c r="G365" s="7">
        <v>18818632</v>
      </c>
      <c r="H365" s="7">
        <v>18817585</v>
      </c>
      <c r="I365" s="8"/>
      <c r="J365" s="7">
        <v>4446280</v>
      </c>
      <c r="K365" s="7">
        <v>13456296</v>
      </c>
      <c r="L365" s="7">
        <v>915009</v>
      </c>
      <c r="M365" s="7">
        <v>14371305</v>
      </c>
      <c r="N365" s="8"/>
      <c r="O365" s="7">
        <f t="shared" si="5"/>
        <v>4231943</v>
      </c>
      <c r="P365" s="7">
        <v>13519889</v>
      </c>
      <c r="Q365" s="7">
        <v>1065753</v>
      </c>
      <c r="R365" s="7">
        <v>14585642</v>
      </c>
      <c r="S365" s="9">
        <v>1.1390250130396648E-2</v>
      </c>
      <c r="T365" s="10"/>
    </row>
    <row r="366" spans="1:20" customFormat="1">
      <c r="A366" s="12" t="s">
        <v>186</v>
      </c>
      <c r="B366" t="s">
        <v>676</v>
      </c>
      <c r="C366" t="s">
        <v>154</v>
      </c>
      <c r="D366" t="s">
        <v>128</v>
      </c>
      <c r="E366" t="s">
        <v>152</v>
      </c>
      <c r="F366" s="4"/>
      <c r="G366" s="7">
        <v>15895496</v>
      </c>
      <c r="H366" s="7">
        <v>15893780</v>
      </c>
      <c r="I366" s="8"/>
      <c r="J366" s="7">
        <v>5618267</v>
      </c>
      <c r="K366" s="7">
        <v>9483695</v>
      </c>
      <c r="L366" s="7">
        <v>791818</v>
      </c>
      <c r="M366" s="7">
        <v>10275513</v>
      </c>
      <c r="N366" s="8"/>
      <c r="O366" s="7">
        <f t="shared" si="5"/>
        <v>5475483</v>
      </c>
      <c r="P366" s="7">
        <v>9520962</v>
      </c>
      <c r="Q366" s="7">
        <v>897335</v>
      </c>
      <c r="R366" s="7">
        <v>10418297</v>
      </c>
      <c r="S366" s="9">
        <v>8.9836401409859705E-3</v>
      </c>
      <c r="T366" s="10"/>
    </row>
    <row r="367" spans="1:20" customFormat="1">
      <c r="A367" s="12" t="s">
        <v>79</v>
      </c>
      <c r="B367" t="s">
        <v>677</v>
      </c>
      <c r="C367" t="s">
        <v>155</v>
      </c>
      <c r="D367" t="s">
        <v>128</v>
      </c>
      <c r="E367" t="s">
        <v>152</v>
      </c>
      <c r="F367" s="4"/>
      <c r="G367" s="7">
        <v>19581414</v>
      </c>
      <c r="H367" s="7">
        <v>19182288</v>
      </c>
      <c r="I367" s="8"/>
      <c r="J367" s="7">
        <v>4773289</v>
      </c>
      <c r="K367" s="7">
        <v>13349799</v>
      </c>
      <c r="L367" s="7">
        <v>1059200</v>
      </c>
      <c r="M367" s="7">
        <v>14408999</v>
      </c>
      <c r="N367" s="8"/>
      <c r="O367" s="7">
        <f t="shared" si="5"/>
        <v>4550937</v>
      </c>
      <c r="P367" s="7">
        <v>13418128</v>
      </c>
      <c r="Q367" s="7">
        <v>1213223</v>
      </c>
      <c r="R367" s="7">
        <v>14631351</v>
      </c>
      <c r="S367" s="9">
        <v>1.1591526516544846E-2</v>
      </c>
      <c r="T367" s="10"/>
    </row>
    <row r="368" spans="1:20" customFormat="1">
      <c r="A368" s="12" t="s">
        <v>174</v>
      </c>
      <c r="B368" t="s">
        <v>678</v>
      </c>
      <c r="C368" t="s">
        <v>154</v>
      </c>
      <c r="D368" t="s">
        <v>128</v>
      </c>
      <c r="E368" t="s">
        <v>152</v>
      </c>
      <c r="F368" s="4"/>
      <c r="G368" s="7">
        <v>26503368</v>
      </c>
      <c r="H368" s="7">
        <v>26501148</v>
      </c>
      <c r="I368" s="8"/>
      <c r="J368" s="7">
        <v>5798153</v>
      </c>
      <c r="K368" s="7">
        <v>19300692</v>
      </c>
      <c r="L368" s="7">
        <v>1402303</v>
      </c>
      <c r="M368" s="7">
        <v>20702995</v>
      </c>
      <c r="N368" s="8"/>
      <c r="O368" s="7">
        <f t="shared" si="5"/>
        <v>5589895</v>
      </c>
      <c r="P368" s="7">
        <v>19316035</v>
      </c>
      <c r="Q368" s="7">
        <v>1595218</v>
      </c>
      <c r="R368" s="7">
        <v>20911253</v>
      </c>
      <c r="S368" s="9">
        <v>7.8584520187578288E-3</v>
      </c>
      <c r="T368" s="10"/>
    </row>
    <row r="369" spans="1:20" customFormat="1">
      <c r="A369" s="12" t="s">
        <v>217</v>
      </c>
      <c r="B369" t="s">
        <v>679</v>
      </c>
      <c r="C369" t="s">
        <v>154</v>
      </c>
      <c r="D369" t="s">
        <v>128</v>
      </c>
      <c r="E369" t="s">
        <v>152</v>
      </c>
      <c r="F369" s="4"/>
      <c r="G369" s="7">
        <v>22156810</v>
      </c>
      <c r="H369" s="7">
        <v>22153681</v>
      </c>
      <c r="I369" s="8"/>
      <c r="J369" s="7">
        <v>8215364</v>
      </c>
      <c r="K369" s="7">
        <v>12961748</v>
      </c>
      <c r="L369" s="7">
        <v>976569</v>
      </c>
      <c r="M369" s="7">
        <v>13938317</v>
      </c>
      <c r="N369" s="8"/>
      <c r="O369" s="7">
        <f t="shared" si="5"/>
        <v>8014709</v>
      </c>
      <c r="P369" s="7">
        <v>13015308</v>
      </c>
      <c r="Q369" s="7">
        <v>1123664</v>
      </c>
      <c r="R369" s="7">
        <v>14138972</v>
      </c>
      <c r="S369" s="9">
        <v>9.0574112717430565E-3</v>
      </c>
      <c r="T369" s="10"/>
    </row>
    <row r="370" spans="1:20" customFormat="1">
      <c r="A370" s="12" t="s">
        <v>61</v>
      </c>
      <c r="B370" t="s">
        <v>680</v>
      </c>
      <c r="C370" t="s">
        <v>155</v>
      </c>
      <c r="D370" t="s">
        <v>128</v>
      </c>
      <c r="E370" t="s">
        <v>152</v>
      </c>
      <c r="F370" s="4"/>
      <c r="G370" s="7">
        <v>23361520</v>
      </c>
      <c r="H370" s="7">
        <v>23221310</v>
      </c>
      <c r="I370" s="8"/>
      <c r="J370" s="7">
        <v>5877857</v>
      </c>
      <c r="K370" s="7">
        <v>16128414</v>
      </c>
      <c r="L370" s="7">
        <v>1215039</v>
      </c>
      <c r="M370" s="7">
        <v>17343453</v>
      </c>
      <c r="N370" s="8"/>
      <c r="O370" s="7">
        <f t="shared" si="5"/>
        <v>5595632</v>
      </c>
      <c r="P370" s="7">
        <v>16223682</v>
      </c>
      <c r="Q370" s="7">
        <v>1401996</v>
      </c>
      <c r="R370" s="7">
        <v>17625678</v>
      </c>
      <c r="S370" s="9">
        <v>1.215370709059911E-2</v>
      </c>
      <c r="T370" s="10"/>
    </row>
    <row r="371" spans="1:20" customFormat="1">
      <c r="A371" s="12" t="s">
        <v>465</v>
      </c>
      <c r="B371" t="s">
        <v>682</v>
      </c>
      <c r="C371" t="s">
        <v>157</v>
      </c>
      <c r="D371" t="s">
        <v>128</v>
      </c>
      <c r="E371" t="s">
        <v>151</v>
      </c>
      <c r="F371" s="4"/>
      <c r="G371" s="7">
        <v>15089904</v>
      </c>
      <c r="H371" s="7">
        <v>15035111</v>
      </c>
      <c r="I371" s="8"/>
      <c r="J371" s="7">
        <v>5006455</v>
      </c>
      <c r="K371" s="7">
        <v>9306996</v>
      </c>
      <c r="L371" s="7">
        <v>721660</v>
      </c>
      <c r="M371" s="7">
        <v>10028656</v>
      </c>
      <c r="N371" s="8"/>
      <c r="O371" s="7">
        <f t="shared" si="5"/>
        <v>4845136</v>
      </c>
      <c r="P371" s="7">
        <v>9362386</v>
      </c>
      <c r="Q371" s="7">
        <v>827589</v>
      </c>
      <c r="R371" s="7">
        <v>10189975</v>
      </c>
      <c r="S371" s="9">
        <v>1.0729485136491509E-2</v>
      </c>
      <c r="T371" s="10"/>
    </row>
    <row r="372" spans="1:20" customFormat="1">
      <c r="A372" s="12" t="s">
        <v>135</v>
      </c>
      <c r="B372" t="s">
        <v>688</v>
      </c>
      <c r="C372" t="s">
        <v>154</v>
      </c>
      <c r="D372" t="s">
        <v>128</v>
      </c>
      <c r="E372" t="s">
        <v>151</v>
      </c>
      <c r="F372" s="4"/>
      <c r="G372" s="7">
        <v>14234826</v>
      </c>
      <c r="H372" s="7">
        <v>14233247</v>
      </c>
      <c r="I372" s="8"/>
      <c r="J372" s="7">
        <v>3254334</v>
      </c>
      <c r="K372" s="7">
        <v>10223045</v>
      </c>
      <c r="L372" s="7">
        <v>755868</v>
      </c>
      <c r="M372" s="7">
        <v>10978913</v>
      </c>
      <c r="N372" s="8"/>
      <c r="O372" s="7">
        <f t="shared" si="5"/>
        <v>3089909</v>
      </c>
      <c r="P372" s="7">
        <v>10270209</v>
      </c>
      <c r="Q372" s="7">
        <v>873129</v>
      </c>
      <c r="R372" s="7">
        <v>11143338</v>
      </c>
      <c r="S372" s="9">
        <v>1.1552177798923886E-2</v>
      </c>
      <c r="T372" s="10"/>
    </row>
    <row r="373" spans="1:20" customFormat="1">
      <c r="A373" s="12" t="s">
        <v>321</v>
      </c>
      <c r="B373" t="s">
        <v>689</v>
      </c>
      <c r="C373" t="s">
        <v>122</v>
      </c>
      <c r="D373" t="s">
        <v>126</v>
      </c>
      <c r="E373" t="s">
        <v>152</v>
      </c>
      <c r="F373" s="4"/>
      <c r="G373" s="7">
        <v>27800046</v>
      </c>
      <c r="H373" s="7">
        <v>27683082</v>
      </c>
      <c r="I373" s="8"/>
      <c r="J373" s="7">
        <v>9196172</v>
      </c>
      <c r="K373" s="7">
        <v>17139405</v>
      </c>
      <c r="L373" s="7">
        <v>1347505</v>
      </c>
      <c r="M373" s="7">
        <v>18486910</v>
      </c>
      <c r="N373" s="8"/>
      <c r="O373" s="7">
        <f t="shared" si="5"/>
        <v>8907057</v>
      </c>
      <c r="P373" s="7">
        <v>17234701</v>
      </c>
      <c r="Q373" s="7">
        <v>1541324</v>
      </c>
      <c r="R373" s="7">
        <v>18776025</v>
      </c>
      <c r="S373" s="9">
        <v>1.044374322194328E-2</v>
      </c>
      <c r="T373" s="10"/>
    </row>
    <row r="374" spans="1:20" customFormat="1">
      <c r="A374" s="12" t="s">
        <v>136</v>
      </c>
      <c r="B374" t="s">
        <v>965</v>
      </c>
      <c r="C374" t="s">
        <v>154</v>
      </c>
      <c r="D374" t="s">
        <v>128</v>
      </c>
      <c r="E374" t="s">
        <v>151</v>
      </c>
      <c r="F374" s="4"/>
      <c r="G374" s="7">
        <v>15427694</v>
      </c>
      <c r="H374" s="7">
        <v>15426675</v>
      </c>
      <c r="I374" s="8"/>
      <c r="J374" s="7">
        <v>3925051</v>
      </c>
      <c r="K374" s="7">
        <v>10708611</v>
      </c>
      <c r="L374" s="7">
        <v>793013</v>
      </c>
      <c r="M374" s="7">
        <v>11501624</v>
      </c>
      <c r="N374" s="8"/>
      <c r="O374" s="7">
        <f t="shared" si="5"/>
        <v>3754384</v>
      </c>
      <c r="P374" s="7">
        <v>10758907</v>
      </c>
      <c r="Q374" s="7">
        <v>913384</v>
      </c>
      <c r="R374" s="7">
        <v>11672291</v>
      </c>
      <c r="S374" s="9">
        <v>1.1063109840584572E-2</v>
      </c>
      <c r="T374" s="10"/>
    </row>
    <row r="375" spans="1:20" customFormat="1">
      <c r="A375" s="12" t="s">
        <v>205</v>
      </c>
      <c r="B375" t="s">
        <v>966</v>
      </c>
      <c r="C375" t="s">
        <v>154</v>
      </c>
      <c r="D375" t="s">
        <v>128</v>
      </c>
      <c r="E375" t="s">
        <v>152</v>
      </c>
      <c r="F375" s="4"/>
      <c r="G375" s="7">
        <v>18896338</v>
      </c>
      <c r="H375" s="7">
        <v>18895359</v>
      </c>
      <c r="I375" s="8"/>
      <c r="J375" s="7">
        <v>4971223</v>
      </c>
      <c r="K375" s="7">
        <v>12954081</v>
      </c>
      <c r="L375" s="7">
        <v>970055</v>
      </c>
      <c r="M375" s="7">
        <v>13924136</v>
      </c>
      <c r="N375" s="8"/>
      <c r="O375" s="7">
        <f t="shared" si="5"/>
        <v>4774784</v>
      </c>
      <c r="P375" s="7">
        <v>13001719</v>
      </c>
      <c r="Q375" s="7">
        <v>1118856</v>
      </c>
      <c r="R375" s="7">
        <v>14120575</v>
      </c>
      <c r="S375" s="9">
        <v>1.0396150716162631E-2</v>
      </c>
      <c r="T375" s="10"/>
    </row>
    <row r="376" spans="1:20" customFormat="1">
      <c r="A376" s="12" t="s">
        <v>185</v>
      </c>
      <c r="B376" t="s">
        <v>692</v>
      </c>
      <c r="C376" t="s">
        <v>154</v>
      </c>
      <c r="D376" t="s">
        <v>128</v>
      </c>
      <c r="E376" t="s">
        <v>152</v>
      </c>
      <c r="F376" s="4"/>
      <c r="G376" s="7">
        <v>81459352</v>
      </c>
      <c r="H376" s="7">
        <v>81449094</v>
      </c>
      <c r="I376" s="8"/>
      <c r="J376" s="7">
        <v>31702155</v>
      </c>
      <c r="K376" s="7">
        <v>45814499</v>
      </c>
      <c r="L376" s="7">
        <v>3932440</v>
      </c>
      <c r="M376" s="7">
        <v>49746939</v>
      </c>
      <c r="N376" s="8"/>
      <c r="O376" s="7">
        <f t="shared" si="5"/>
        <v>30924938</v>
      </c>
      <c r="P376" s="7">
        <v>46028920</v>
      </c>
      <c r="Q376" s="7">
        <v>4495236</v>
      </c>
      <c r="R376" s="7">
        <v>50524156</v>
      </c>
      <c r="S376" s="9">
        <v>9.5423651980708346E-3</v>
      </c>
      <c r="T376" s="10"/>
    </row>
    <row r="377" spans="1:20" customFormat="1">
      <c r="A377" s="12" t="s">
        <v>214</v>
      </c>
      <c r="B377" t="s">
        <v>693</v>
      </c>
      <c r="C377" t="s">
        <v>154</v>
      </c>
      <c r="D377" t="s">
        <v>128</v>
      </c>
      <c r="E377" t="s">
        <v>152</v>
      </c>
      <c r="F377" s="4"/>
      <c r="G377" s="7">
        <v>13057388</v>
      </c>
      <c r="H377" s="7">
        <v>13056381</v>
      </c>
      <c r="I377" s="8"/>
      <c r="J377" s="7">
        <v>4483315</v>
      </c>
      <c r="K377" s="7">
        <v>7990594</v>
      </c>
      <c r="L377" s="7">
        <v>582472</v>
      </c>
      <c r="M377" s="7">
        <v>8573066</v>
      </c>
      <c r="N377" s="8"/>
      <c r="O377" s="7">
        <f t="shared" si="5"/>
        <v>4348710</v>
      </c>
      <c r="P377" s="7">
        <v>8028873</v>
      </c>
      <c r="Q377" s="7">
        <v>678798</v>
      </c>
      <c r="R377" s="7">
        <v>8707671</v>
      </c>
      <c r="S377" s="9">
        <v>1.0309518387982091E-2</v>
      </c>
      <c r="T377" s="10"/>
    </row>
    <row r="378" spans="1:20" customFormat="1">
      <c r="A378" s="12" t="s">
        <v>162</v>
      </c>
      <c r="B378" t="s">
        <v>695</v>
      </c>
      <c r="C378" t="s">
        <v>122</v>
      </c>
      <c r="D378" t="s">
        <v>126</v>
      </c>
      <c r="E378" t="s">
        <v>152</v>
      </c>
      <c r="F378" s="4"/>
      <c r="G378" s="7">
        <v>30904650</v>
      </c>
      <c r="H378" s="7">
        <v>30276802</v>
      </c>
      <c r="I378" s="8"/>
      <c r="J378" s="7">
        <v>10134820</v>
      </c>
      <c r="K378" s="7">
        <v>18704685</v>
      </c>
      <c r="L378" s="7">
        <v>1437297</v>
      </c>
      <c r="M378" s="7">
        <v>20141982</v>
      </c>
      <c r="N378" s="8"/>
      <c r="O378" s="7">
        <f t="shared" si="5"/>
        <v>9803593</v>
      </c>
      <c r="P378" s="7">
        <v>18821910</v>
      </c>
      <c r="Q378" s="7">
        <v>1651299</v>
      </c>
      <c r="R378" s="7">
        <v>20473209</v>
      </c>
      <c r="S378" s="9">
        <v>1.0939959907258368E-2</v>
      </c>
      <c r="T378" s="10"/>
    </row>
    <row r="379" spans="1:20" customFormat="1">
      <c r="A379" s="12" t="s">
        <v>303</v>
      </c>
      <c r="B379" t="s">
        <v>699</v>
      </c>
      <c r="C379" t="s">
        <v>122</v>
      </c>
      <c r="D379" t="s">
        <v>126</v>
      </c>
      <c r="E379" t="s">
        <v>152</v>
      </c>
      <c r="F379" s="4"/>
      <c r="G379" s="7">
        <v>32795238</v>
      </c>
      <c r="H379" s="7">
        <v>32172912</v>
      </c>
      <c r="I379" s="8"/>
      <c r="J379" s="7">
        <v>7827529</v>
      </c>
      <c r="K379" s="7">
        <v>22504701</v>
      </c>
      <c r="L379" s="7">
        <v>1840682</v>
      </c>
      <c r="M379" s="7">
        <v>24345383</v>
      </c>
      <c r="N379" s="8"/>
      <c r="O379" s="7">
        <f t="shared" si="5"/>
        <v>7469622</v>
      </c>
      <c r="P379" s="7">
        <v>22614359</v>
      </c>
      <c r="Q379" s="7">
        <v>2088931</v>
      </c>
      <c r="R379" s="7">
        <v>24703290</v>
      </c>
      <c r="S379" s="9">
        <v>1.1124482608226448E-2</v>
      </c>
      <c r="T379" s="10"/>
    </row>
    <row r="380" spans="1:20" customFormat="1">
      <c r="A380" s="12" t="s">
        <v>495</v>
      </c>
      <c r="B380" t="s">
        <v>925</v>
      </c>
      <c r="C380" t="s">
        <v>155</v>
      </c>
      <c r="D380" t="s">
        <v>128</v>
      </c>
      <c r="E380" t="s">
        <v>152</v>
      </c>
      <c r="F380" s="4"/>
      <c r="G380" s="7">
        <v>27284326</v>
      </c>
      <c r="H380" s="7">
        <v>27120781</v>
      </c>
      <c r="I380" s="8"/>
      <c r="J380" s="7">
        <v>7783332</v>
      </c>
      <c r="K380" s="7">
        <v>17978985</v>
      </c>
      <c r="L380" s="7">
        <v>1358464</v>
      </c>
      <c r="M380" s="7">
        <v>19337449</v>
      </c>
      <c r="N380" s="8"/>
      <c r="O380" s="7">
        <f t="shared" si="5"/>
        <v>7476319</v>
      </c>
      <c r="P380" s="7">
        <v>18082065</v>
      </c>
      <c r="Q380" s="7">
        <v>1562397</v>
      </c>
      <c r="R380" s="7">
        <v>19644462</v>
      </c>
      <c r="S380" s="9">
        <v>1.1320212349342005E-2</v>
      </c>
      <c r="T380" s="10"/>
    </row>
    <row r="381" spans="1:20" customFormat="1">
      <c r="A381" s="12" t="s">
        <v>491</v>
      </c>
      <c r="B381" t="s">
        <v>926</v>
      </c>
      <c r="C381" t="s">
        <v>154</v>
      </c>
      <c r="D381" t="s">
        <v>128</v>
      </c>
      <c r="E381" t="s">
        <v>152</v>
      </c>
      <c r="F381" s="4"/>
      <c r="G381" s="7">
        <v>91288954</v>
      </c>
      <c r="H381" s="7">
        <v>91276902</v>
      </c>
      <c r="I381" s="8"/>
      <c r="J381" s="7">
        <v>29673873</v>
      </c>
      <c r="K381" s="7">
        <v>56780312</v>
      </c>
      <c r="L381" s="7">
        <v>4822717</v>
      </c>
      <c r="M381" s="7">
        <v>61603029</v>
      </c>
      <c r="N381" s="8"/>
      <c r="O381" s="7">
        <f t="shared" si="5"/>
        <v>28768423</v>
      </c>
      <c r="P381" s="7">
        <v>57036709</v>
      </c>
      <c r="Q381" s="7">
        <v>5471770</v>
      </c>
      <c r="R381" s="7">
        <v>62508479</v>
      </c>
      <c r="S381" s="9">
        <v>9.9198152014405572E-3</v>
      </c>
      <c r="T381" s="10"/>
    </row>
    <row r="382" spans="1:20" customFormat="1">
      <c r="A382" s="12" t="s">
        <v>492</v>
      </c>
      <c r="B382" t="s">
        <v>927</v>
      </c>
      <c r="C382" t="s">
        <v>155</v>
      </c>
      <c r="D382" t="s">
        <v>128</v>
      </c>
      <c r="E382" t="s">
        <v>152</v>
      </c>
      <c r="F382" s="4"/>
      <c r="G382" s="7">
        <v>18821764</v>
      </c>
      <c r="H382" s="7">
        <v>18731056</v>
      </c>
      <c r="I382" s="8"/>
      <c r="J382" s="7">
        <v>6944066</v>
      </c>
      <c r="K382" s="7">
        <v>10961054</v>
      </c>
      <c r="L382" s="7">
        <v>825936</v>
      </c>
      <c r="M382" s="7">
        <v>11786990</v>
      </c>
      <c r="N382" s="8"/>
      <c r="O382" s="7">
        <f t="shared" si="5"/>
        <v>6742903</v>
      </c>
      <c r="P382" s="7">
        <v>11034382</v>
      </c>
      <c r="Q382" s="7">
        <v>953771</v>
      </c>
      <c r="R382" s="7">
        <v>11988153</v>
      </c>
      <c r="S382" s="9">
        <v>1.0739543995811021E-2</v>
      </c>
      <c r="T382" s="10"/>
    </row>
    <row r="383" spans="1:20" customFormat="1">
      <c r="A383" s="12" t="s">
        <v>493</v>
      </c>
      <c r="B383" t="s">
        <v>928</v>
      </c>
      <c r="C383" t="s">
        <v>154</v>
      </c>
      <c r="D383" t="s">
        <v>128</v>
      </c>
      <c r="E383" t="s">
        <v>152</v>
      </c>
      <c r="F383" s="4"/>
      <c r="G383" s="7">
        <v>16116566</v>
      </c>
      <c r="H383" s="7">
        <v>16114447</v>
      </c>
      <c r="I383" s="8"/>
      <c r="J383" s="7">
        <v>6009401</v>
      </c>
      <c r="K383" s="7">
        <v>9390370</v>
      </c>
      <c r="L383" s="7">
        <v>714676</v>
      </c>
      <c r="M383" s="7">
        <v>10105046</v>
      </c>
      <c r="N383" s="8"/>
      <c r="O383" s="7">
        <f t="shared" si="5"/>
        <v>5841652</v>
      </c>
      <c r="P383" s="7">
        <v>9446119</v>
      </c>
      <c r="Q383" s="7">
        <v>826676</v>
      </c>
      <c r="R383" s="7">
        <v>10272795</v>
      </c>
      <c r="S383" s="9">
        <v>1.0409851482958117E-2</v>
      </c>
      <c r="T383" s="10"/>
    </row>
    <row r="384" spans="1:20" customFormat="1">
      <c r="A384" s="12" t="s">
        <v>494</v>
      </c>
      <c r="B384" t="s">
        <v>929</v>
      </c>
      <c r="C384" t="s">
        <v>154</v>
      </c>
      <c r="D384" t="s">
        <v>128</v>
      </c>
      <c r="E384" t="s">
        <v>152</v>
      </c>
      <c r="F384" s="4"/>
      <c r="G384" s="7">
        <v>18524788</v>
      </c>
      <c r="H384" s="7">
        <v>18523110</v>
      </c>
      <c r="I384" s="8"/>
      <c r="J384" s="7">
        <v>6250433</v>
      </c>
      <c r="K384" s="7">
        <v>11381215</v>
      </c>
      <c r="L384" s="7">
        <v>891462</v>
      </c>
      <c r="M384" s="7">
        <v>12272677</v>
      </c>
      <c r="N384" s="8"/>
      <c r="O384" s="7">
        <f t="shared" si="5"/>
        <v>6054106</v>
      </c>
      <c r="P384" s="7">
        <v>11436943</v>
      </c>
      <c r="Q384" s="7">
        <v>1032061</v>
      </c>
      <c r="R384" s="7">
        <v>12469004</v>
      </c>
      <c r="S384" s="9">
        <v>1.0599030076482836E-2</v>
      </c>
      <c r="T384" s="10"/>
    </row>
    <row r="385" spans="1:20" customFormat="1">
      <c r="A385" s="12" t="s">
        <v>37</v>
      </c>
      <c r="B385" t="s">
        <v>704</v>
      </c>
      <c r="C385" t="s">
        <v>157</v>
      </c>
      <c r="D385" t="s">
        <v>126</v>
      </c>
      <c r="E385" t="s">
        <v>152</v>
      </c>
      <c r="F385" s="4"/>
      <c r="G385" s="7">
        <v>20735780</v>
      </c>
      <c r="H385" s="7">
        <v>20461573</v>
      </c>
      <c r="I385" s="8"/>
      <c r="J385" s="7">
        <v>5167631</v>
      </c>
      <c r="K385" s="7">
        <v>14203445</v>
      </c>
      <c r="L385" s="7">
        <v>1090497</v>
      </c>
      <c r="M385" s="7">
        <v>15293942</v>
      </c>
      <c r="N385" s="8"/>
      <c r="O385" s="7">
        <f t="shared" si="5"/>
        <v>4929197</v>
      </c>
      <c r="P385" s="7">
        <v>14279567</v>
      </c>
      <c r="Q385" s="7">
        <v>1252809</v>
      </c>
      <c r="R385" s="7">
        <v>15532376</v>
      </c>
      <c r="S385" s="9">
        <v>1.165276980415924E-2</v>
      </c>
      <c r="T385" s="10"/>
    </row>
    <row r="386" spans="1:20" customFormat="1">
      <c r="A386" s="12" t="s">
        <v>179</v>
      </c>
      <c r="B386" t="s">
        <v>705</v>
      </c>
      <c r="C386" t="s">
        <v>154</v>
      </c>
      <c r="D386" t="s">
        <v>128</v>
      </c>
      <c r="E386" t="s">
        <v>152</v>
      </c>
      <c r="F386" s="4"/>
      <c r="G386" s="7">
        <v>16765130</v>
      </c>
      <c r="H386" s="7">
        <v>16763946</v>
      </c>
      <c r="I386" s="8"/>
      <c r="J386" s="7">
        <v>4962718</v>
      </c>
      <c r="K386" s="7">
        <v>10941851</v>
      </c>
      <c r="L386" s="7">
        <v>859377</v>
      </c>
      <c r="M386" s="7">
        <v>11801228</v>
      </c>
      <c r="N386" s="8"/>
      <c r="O386" s="7">
        <f t="shared" si="5"/>
        <v>4782860</v>
      </c>
      <c r="P386" s="7">
        <v>10994972</v>
      </c>
      <c r="Q386" s="7">
        <v>986114</v>
      </c>
      <c r="R386" s="7">
        <v>11981086</v>
      </c>
      <c r="S386" s="9">
        <v>1.0728858229440729E-2</v>
      </c>
      <c r="T386" s="10"/>
    </row>
    <row r="387" spans="1:20" customFormat="1">
      <c r="A387" s="12" t="s">
        <v>275</v>
      </c>
      <c r="B387" t="s">
        <v>706</v>
      </c>
      <c r="C387" t="s">
        <v>122</v>
      </c>
      <c r="D387" t="s">
        <v>128</v>
      </c>
      <c r="E387" t="s">
        <v>152</v>
      </c>
      <c r="F387" s="4"/>
      <c r="G387" s="7">
        <v>21995690</v>
      </c>
      <c r="H387" s="7">
        <v>21645158</v>
      </c>
      <c r="I387" s="8"/>
      <c r="J387" s="7">
        <v>5487766</v>
      </c>
      <c r="K387" s="7">
        <v>15026345</v>
      </c>
      <c r="L387" s="7">
        <v>1131047</v>
      </c>
      <c r="M387" s="7">
        <v>16157392</v>
      </c>
      <c r="N387" s="8"/>
      <c r="O387" s="7">
        <f t="shared" si="5"/>
        <v>5234979</v>
      </c>
      <c r="P387" s="7">
        <v>15109832</v>
      </c>
      <c r="Q387" s="7">
        <v>1300347</v>
      </c>
      <c r="R387" s="7">
        <v>16410179</v>
      </c>
      <c r="S387" s="9">
        <v>1.1678685828950751E-2</v>
      </c>
      <c r="T387" s="10"/>
    </row>
    <row r="388" spans="1:20" customFormat="1">
      <c r="A388" s="12" t="s">
        <v>324</v>
      </c>
      <c r="B388" t="s">
        <v>707</v>
      </c>
      <c r="C388" t="s">
        <v>155</v>
      </c>
      <c r="D388" t="s">
        <v>128</v>
      </c>
      <c r="E388" t="s">
        <v>152</v>
      </c>
      <c r="F388" s="4"/>
      <c r="G388" s="7">
        <v>24580476</v>
      </c>
      <c r="H388" s="7">
        <v>24038662</v>
      </c>
      <c r="I388" s="8"/>
      <c r="J388" s="7">
        <v>5881485</v>
      </c>
      <c r="K388" s="7">
        <v>16909009</v>
      </c>
      <c r="L388" s="7">
        <v>1248168</v>
      </c>
      <c r="M388" s="7">
        <v>18157177</v>
      </c>
      <c r="N388" s="8"/>
      <c r="O388" s="7">
        <f t="shared" ref="O388:O451" si="6">H388-R388</f>
        <v>5598365</v>
      </c>
      <c r="P388" s="7">
        <v>16999846</v>
      </c>
      <c r="Q388" s="7">
        <v>1440451</v>
      </c>
      <c r="R388" s="7">
        <v>18440297</v>
      </c>
      <c r="S388" s="9">
        <v>1.1777693783456E-2</v>
      </c>
      <c r="T388" s="10"/>
    </row>
    <row r="389" spans="1:20" customFormat="1">
      <c r="A389" s="12" t="s">
        <v>308</v>
      </c>
      <c r="B389" t="s">
        <v>708</v>
      </c>
      <c r="C389" t="s">
        <v>122</v>
      </c>
      <c r="D389" t="s">
        <v>126</v>
      </c>
      <c r="E389" t="s">
        <v>152</v>
      </c>
      <c r="F389" s="4"/>
      <c r="G389" s="7">
        <v>29420124</v>
      </c>
      <c r="H389" s="7">
        <v>28722262</v>
      </c>
      <c r="I389" s="8"/>
      <c r="J389" s="7">
        <v>8615330</v>
      </c>
      <c r="K389" s="7">
        <v>18628797</v>
      </c>
      <c r="L389" s="7">
        <v>1478135</v>
      </c>
      <c r="M389" s="7">
        <v>20106932</v>
      </c>
      <c r="N389" s="8"/>
      <c r="O389" s="7">
        <f t="shared" si="6"/>
        <v>8320902</v>
      </c>
      <c r="P389" s="7">
        <v>18721549</v>
      </c>
      <c r="Q389" s="7">
        <v>1679811</v>
      </c>
      <c r="R389" s="7">
        <v>20401360</v>
      </c>
      <c r="S389" s="9">
        <v>1.0250863946579139E-2</v>
      </c>
      <c r="T389" s="10"/>
    </row>
    <row r="390" spans="1:20" customFormat="1">
      <c r="A390" s="12" t="s">
        <v>200</v>
      </c>
      <c r="B390" t="s">
        <v>709</v>
      </c>
      <c r="C390" t="s">
        <v>154</v>
      </c>
      <c r="D390" t="s">
        <v>128</v>
      </c>
      <c r="E390" t="s">
        <v>152</v>
      </c>
      <c r="F390" s="4"/>
      <c r="G390" s="7">
        <v>17542424</v>
      </c>
      <c r="H390" s="7">
        <v>17541348</v>
      </c>
      <c r="I390" s="8"/>
      <c r="J390" s="7">
        <v>4463577</v>
      </c>
      <c r="K390" s="7">
        <v>12197281</v>
      </c>
      <c r="L390" s="7">
        <v>880490</v>
      </c>
      <c r="M390" s="7">
        <v>13077771</v>
      </c>
      <c r="N390" s="8"/>
      <c r="O390" s="7">
        <f t="shared" si="6"/>
        <v>4266709</v>
      </c>
      <c r="P390" s="7">
        <v>12257097</v>
      </c>
      <c r="Q390" s="7">
        <v>1017542</v>
      </c>
      <c r="R390" s="7">
        <v>13274639</v>
      </c>
      <c r="S390" s="9">
        <v>1.1223082741417593E-2</v>
      </c>
      <c r="T390" s="10"/>
    </row>
    <row r="391" spans="1:20" customFormat="1">
      <c r="A391" s="12" t="s">
        <v>256</v>
      </c>
      <c r="B391" t="s">
        <v>711</v>
      </c>
      <c r="C391" t="s">
        <v>158</v>
      </c>
      <c r="D391" t="s">
        <v>126</v>
      </c>
      <c r="E391" t="s">
        <v>152</v>
      </c>
      <c r="F391" s="4"/>
      <c r="G391" s="7">
        <v>32000248</v>
      </c>
      <c r="H391" s="7">
        <v>31545126</v>
      </c>
      <c r="I391" s="8"/>
      <c r="J391" s="7">
        <v>7478518</v>
      </c>
      <c r="K391" s="7">
        <v>22485281</v>
      </c>
      <c r="L391" s="7">
        <v>1581327</v>
      </c>
      <c r="M391" s="7">
        <v>24066608</v>
      </c>
      <c r="N391" s="8"/>
      <c r="O391" s="7">
        <f t="shared" si="6"/>
        <v>7108189</v>
      </c>
      <c r="P391" s="7">
        <v>22602197</v>
      </c>
      <c r="Q391" s="7">
        <v>1834740</v>
      </c>
      <c r="R391" s="7">
        <v>24436937</v>
      </c>
      <c r="S391" s="9">
        <v>1.1739658291426701E-2</v>
      </c>
      <c r="T391" s="10"/>
    </row>
    <row r="392" spans="1:20" customFormat="1">
      <c r="A392" s="12" t="s">
        <v>46</v>
      </c>
      <c r="B392" t="s">
        <v>712</v>
      </c>
      <c r="C392" t="s">
        <v>158</v>
      </c>
      <c r="D392" t="s">
        <v>126</v>
      </c>
      <c r="E392" t="s">
        <v>152</v>
      </c>
      <c r="F392" s="4"/>
      <c r="G392" s="7">
        <v>29292140</v>
      </c>
      <c r="H392" s="7">
        <v>29090708</v>
      </c>
      <c r="I392" s="8"/>
      <c r="J392" s="7">
        <v>7792804</v>
      </c>
      <c r="K392" s="7">
        <v>19811038</v>
      </c>
      <c r="L392" s="7">
        <v>1486866</v>
      </c>
      <c r="M392" s="7">
        <v>21297904</v>
      </c>
      <c r="N392" s="8"/>
      <c r="O392" s="7">
        <f t="shared" si="6"/>
        <v>7458890</v>
      </c>
      <c r="P392" s="7">
        <v>19918178</v>
      </c>
      <c r="Q392" s="7">
        <v>1713640</v>
      </c>
      <c r="R392" s="7">
        <v>21631818</v>
      </c>
      <c r="S392" s="9">
        <v>1.1478373094254014E-2</v>
      </c>
      <c r="T392" s="10"/>
    </row>
    <row r="393" spans="1:20" customFormat="1">
      <c r="A393" s="12" t="s">
        <v>86</v>
      </c>
      <c r="B393" t="s">
        <v>902</v>
      </c>
      <c r="C393" t="s">
        <v>155</v>
      </c>
      <c r="D393" t="s">
        <v>126</v>
      </c>
      <c r="E393" t="s">
        <v>151</v>
      </c>
      <c r="F393" s="4"/>
      <c r="G393" s="7">
        <v>13402274</v>
      </c>
      <c r="H393" s="7">
        <v>13019279</v>
      </c>
      <c r="I393" s="8"/>
      <c r="J393" s="7">
        <v>3174865</v>
      </c>
      <c r="K393" s="7">
        <v>9182175</v>
      </c>
      <c r="L393" s="7">
        <v>662239</v>
      </c>
      <c r="M393" s="7">
        <v>9844414</v>
      </c>
      <c r="N393" s="8"/>
      <c r="O393" s="7">
        <f t="shared" si="6"/>
        <v>3018015</v>
      </c>
      <c r="P393" s="7">
        <v>9230847</v>
      </c>
      <c r="Q393" s="7">
        <v>770417</v>
      </c>
      <c r="R393" s="7">
        <v>10001264</v>
      </c>
      <c r="S393" s="9">
        <v>1.2047518145974136E-2</v>
      </c>
      <c r="T393" s="10"/>
    </row>
    <row r="394" spans="1:20" customFormat="1">
      <c r="A394" s="12" t="s">
        <v>182</v>
      </c>
      <c r="B394" t="s">
        <v>905</v>
      </c>
      <c r="C394" t="s">
        <v>154</v>
      </c>
      <c r="D394" t="s">
        <v>128</v>
      </c>
      <c r="E394" t="s">
        <v>151</v>
      </c>
      <c r="F394" s="4"/>
      <c r="G394" s="7">
        <v>10363296</v>
      </c>
      <c r="H394" s="7">
        <v>10362517</v>
      </c>
      <c r="I394" s="8"/>
      <c r="J394" s="7">
        <v>3167870</v>
      </c>
      <c r="K394" s="7">
        <v>6676811</v>
      </c>
      <c r="L394" s="7">
        <v>517836</v>
      </c>
      <c r="M394" s="7">
        <v>7194647</v>
      </c>
      <c r="N394" s="8"/>
      <c r="O394" s="7">
        <f t="shared" si="6"/>
        <v>3058739</v>
      </c>
      <c r="P394" s="7">
        <v>6705450</v>
      </c>
      <c r="Q394" s="7">
        <v>598328</v>
      </c>
      <c r="R394" s="7">
        <v>7303778</v>
      </c>
      <c r="S394" s="9">
        <v>1.053132168564838E-2</v>
      </c>
      <c r="T394" s="10"/>
    </row>
    <row r="395" spans="1:20" customFormat="1">
      <c r="A395" s="12" t="s">
        <v>189</v>
      </c>
      <c r="B395" t="s">
        <v>713</v>
      </c>
      <c r="C395" t="s">
        <v>154</v>
      </c>
      <c r="D395" t="s">
        <v>128</v>
      </c>
      <c r="E395" t="s">
        <v>152</v>
      </c>
      <c r="F395" s="4"/>
      <c r="G395" s="7">
        <v>34480708</v>
      </c>
      <c r="H395" s="7">
        <v>34477846</v>
      </c>
      <c r="I395" s="8"/>
      <c r="J395" s="7">
        <v>12536388</v>
      </c>
      <c r="K395" s="7">
        <v>20130109</v>
      </c>
      <c r="L395" s="7">
        <v>1811349</v>
      </c>
      <c r="M395" s="7">
        <v>21941458</v>
      </c>
      <c r="N395" s="8"/>
      <c r="O395" s="7">
        <f t="shared" si="6"/>
        <v>12227564</v>
      </c>
      <c r="P395" s="7">
        <v>20209273</v>
      </c>
      <c r="Q395" s="7">
        <v>2041009</v>
      </c>
      <c r="R395" s="7">
        <v>22250282</v>
      </c>
      <c r="S395" s="9">
        <v>8.9571720924793274E-3</v>
      </c>
      <c r="T395" s="10"/>
    </row>
    <row r="396" spans="1:20" customFormat="1">
      <c r="A396" s="12" t="s">
        <v>322</v>
      </c>
      <c r="B396" t="s">
        <v>714</v>
      </c>
      <c r="C396" t="s">
        <v>122</v>
      </c>
      <c r="D396" t="s">
        <v>126</v>
      </c>
      <c r="E396" t="s">
        <v>152</v>
      </c>
      <c r="F396" s="4"/>
      <c r="G396" s="7">
        <v>15798186</v>
      </c>
      <c r="H396" s="7">
        <v>15641027</v>
      </c>
      <c r="I396" s="8"/>
      <c r="J396" s="7">
        <v>5106958</v>
      </c>
      <c r="K396" s="7">
        <v>9787574</v>
      </c>
      <c r="L396" s="7">
        <v>746495</v>
      </c>
      <c r="M396" s="7">
        <v>10534069</v>
      </c>
      <c r="N396" s="8"/>
      <c r="O396" s="7">
        <f t="shared" si="6"/>
        <v>4935470</v>
      </c>
      <c r="P396" s="7">
        <v>9846793</v>
      </c>
      <c r="Q396" s="7">
        <v>858764</v>
      </c>
      <c r="R396" s="7">
        <v>10705557</v>
      </c>
      <c r="S396" s="9">
        <v>1.0963985932637288E-2</v>
      </c>
      <c r="T396" s="10"/>
    </row>
    <row r="397" spans="1:20" customFormat="1">
      <c r="A397" s="12" t="s">
        <v>310</v>
      </c>
      <c r="B397" t="s">
        <v>715</v>
      </c>
      <c r="C397" t="s">
        <v>122</v>
      </c>
      <c r="D397" t="s">
        <v>126</v>
      </c>
      <c r="E397" t="s">
        <v>152</v>
      </c>
      <c r="F397" s="4"/>
      <c r="G397" s="7">
        <v>19580196</v>
      </c>
      <c r="H397" s="7">
        <v>19474094</v>
      </c>
      <c r="I397" s="8"/>
      <c r="J397" s="7">
        <v>5001915</v>
      </c>
      <c r="K397" s="7">
        <v>13403258</v>
      </c>
      <c r="L397" s="7">
        <v>1068921</v>
      </c>
      <c r="M397" s="7">
        <v>14472179</v>
      </c>
      <c r="N397" s="8"/>
      <c r="O397" s="7">
        <f t="shared" si="6"/>
        <v>4781431</v>
      </c>
      <c r="P397" s="7">
        <v>13480856</v>
      </c>
      <c r="Q397" s="7">
        <v>1211807</v>
      </c>
      <c r="R397" s="7">
        <v>14692663</v>
      </c>
      <c r="S397" s="9">
        <v>1.1321913101579976E-2</v>
      </c>
      <c r="T397" s="10"/>
    </row>
    <row r="398" spans="1:20" customFormat="1">
      <c r="A398" s="12" t="s">
        <v>36</v>
      </c>
      <c r="B398" t="s">
        <v>716</v>
      </c>
      <c r="C398" t="s">
        <v>157</v>
      </c>
      <c r="D398" t="s">
        <v>126</v>
      </c>
      <c r="E398" t="s">
        <v>152</v>
      </c>
      <c r="F398" s="4"/>
      <c r="G398" s="7">
        <v>26288722</v>
      </c>
      <c r="H398" s="7">
        <v>25846526</v>
      </c>
      <c r="I398" s="8"/>
      <c r="J398" s="7">
        <v>6189284</v>
      </c>
      <c r="K398" s="7">
        <v>18321598</v>
      </c>
      <c r="L398" s="7">
        <v>1335644</v>
      </c>
      <c r="M398" s="7">
        <v>19657242</v>
      </c>
      <c r="N398" s="8"/>
      <c r="O398" s="7">
        <f t="shared" si="6"/>
        <v>5874602</v>
      </c>
      <c r="P398" s="7">
        <v>18428128</v>
      </c>
      <c r="Q398" s="7">
        <v>1543796</v>
      </c>
      <c r="R398" s="7">
        <v>19971924</v>
      </c>
      <c r="S398" s="9">
        <v>1.2175021122761333E-2</v>
      </c>
      <c r="T398" s="10"/>
    </row>
    <row r="399" spans="1:20" customFormat="1">
      <c r="A399" s="12" t="s">
        <v>496</v>
      </c>
      <c r="B399" t="s">
        <v>717</v>
      </c>
      <c r="C399" t="s">
        <v>154</v>
      </c>
      <c r="D399" t="s">
        <v>128</v>
      </c>
      <c r="E399" t="s">
        <v>152</v>
      </c>
      <c r="F399" s="4"/>
      <c r="G399" s="7">
        <v>37680132</v>
      </c>
      <c r="H399" s="7">
        <v>37676709</v>
      </c>
      <c r="I399" s="8"/>
      <c r="J399" s="7">
        <v>10268655</v>
      </c>
      <c r="K399" s="7">
        <v>25606079</v>
      </c>
      <c r="L399" s="7">
        <v>1801975</v>
      </c>
      <c r="M399" s="7">
        <v>27408054</v>
      </c>
      <c r="N399" s="8"/>
      <c r="O399" s="7">
        <f t="shared" si="6"/>
        <v>9834058</v>
      </c>
      <c r="P399" s="7">
        <v>25726029</v>
      </c>
      <c r="Q399" s="7">
        <v>2116622</v>
      </c>
      <c r="R399" s="7">
        <v>27842651</v>
      </c>
      <c r="S399" s="9">
        <v>1.1534898124992816E-2</v>
      </c>
      <c r="T399" s="10"/>
    </row>
    <row r="400" spans="1:20" customFormat="1">
      <c r="A400" s="12" t="s">
        <v>187</v>
      </c>
      <c r="B400" t="s">
        <v>720</v>
      </c>
      <c r="C400" t="s">
        <v>154</v>
      </c>
      <c r="D400" t="s">
        <v>128</v>
      </c>
      <c r="E400" t="s">
        <v>151</v>
      </c>
      <c r="F400" s="4"/>
      <c r="G400" s="7">
        <v>11317922</v>
      </c>
      <c r="H400" s="7">
        <v>11317234</v>
      </c>
      <c r="I400" s="8"/>
      <c r="J400" s="7">
        <v>4143591</v>
      </c>
      <c r="K400" s="7">
        <v>6667662</v>
      </c>
      <c r="L400" s="7">
        <v>505981</v>
      </c>
      <c r="M400" s="7">
        <v>7173643</v>
      </c>
      <c r="N400" s="8"/>
      <c r="O400" s="7">
        <f t="shared" si="6"/>
        <v>4032474</v>
      </c>
      <c r="P400" s="7">
        <v>6699677</v>
      </c>
      <c r="Q400" s="7">
        <v>585083</v>
      </c>
      <c r="R400" s="7">
        <v>7284760</v>
      </c>
      <c r="S400" s="9">
        <v>9.8183884860912132E-3</v>
      </c>
      <c r="T400" s="10"/>
    </row>
    <row r="401" spans="1:20" customFormat="1">
      <c r="A401" s="12" t="s">
        <v>385</v>
      </c>
      <c r="B401" t="s">
        <v>724</v>
      </c>
      <c r="C401" t="s">
        <v>155</v>
      </c>
      <c r="D401" t="s">
        <v>128</v>
      </c>
      <c r="E401" t="s">
        <v>152</v>
      </c>
      <c r="F401" s="4"/>
      <c r="G401" s="7">
        <v>26860492</v>
      </c>
      <c r="H401" s="7">
        <v>26316382</v>
      </c>
      <c r="I401" s="8"/>
      <c r="J401" s="7">
        <v>6883697</v>
      </c>
      <c r="K401" s="7">
        <v>18019432</v>
      </c>
      <c r="L401" s="7">
        <v>1413253</v>
      </c>
      <c r="M401" s="7">
        <v>19432685</v>
      </c>
      <c r="N401" s="8"/>
      <c r="O401" s="7">
        <f t="shared" si="6"/>
        <v>6573891</v>
      </c>
      <c r="P401" s="7">
        <v>18119804</v>
      </c>
      <c r="Q401" s="7">
        <v>1622687</v>
      </c>
      <c r="R401" s="7">
        <v>19742491</v>
      </c>
      <c r="S401" s="9">
        <v>1.177236293347619E-2</v>
      </c>
      <c r="T401" s="10"/>
    </row>
    <row r="402" spans="1:20" customFormat="1">
      <c r="A402" s="12" t="s">
        <v>62</v>
      </c>
      <c r="B402" t="s">
        <v>725</v>
      </c>
      <c r="C402" t="s">
        <v>155</v>
      </c>
      <c r="D402" t="s">
        <v>128</v>
      </c>
      <c r="E402" t="s">
        <v>152</v>
      </c>
      <c r="F402" s="4"/>
      <c r="G402" s="7">
        <v>27459114</v>
      </c>
      <c r="H402" s="7">
        <v>26745966</v>
      </c>
      <c r="I402" s="8"/>
      <c r="J402" s="7">
        <v>6628190</v>
      </c>
      <c r="K402" s="7">
        <v>18682578</v>
      </c>
      <c r="L402" s="7">
        <v>1435198</v>
      </c>
      <c r="M402" s="7">
        <v>20117776</v>
      </c>
      <c r="N402" s="8"/>
      <c r="O402" s="7">
        <f t="shared" si="6"/>
        <v>6308705</v>
      </c>
      <c r="P402" s="7">
        <v>18784459</v>
      </c>
      <c r="Q402" s="7">
        <v>1652802</v>
      </c>
      <c r="R402" s="7">
        <v>20437261</v>
      </c>
      <c r="S402" s="9">
        <v>1.1945165861648071E-2</v>
      </c>
      <c r="T402" s="10"/>
    </row>
    <row r="403" spans="1:20" customFormat="1">
      <c r="A403" s="12" t="s">
        <v>85</v>
      </c>
      <c r="B403" t="s">
        <v>729</v>
      </c>
      <c r="C403" t="s">
        <v>155</v>
      </c>
      <c r="D403" t="s">
        <v>128</v>
      </c>
      <c r="E403" t="s">
        <v>152</v>
      </c>
      <c r="F403" s="4"/>
      <c r="G403" s="7">
        <v>26776920</v>
      </c>
      <c r="H403" s="7">
        <v>26174905</v>
      </c>
      <c r="I403" s="8"/>
      <c r="J403" s="7">
        <v>6132416</v>
      </c>
      <c r="K403" s="7">
        <v>18661165</v>
      </c>
      <c r="L403" s="7">
        <v>1381324</v>
      </c>
      <c r="M403" s="7">
        <v>20042489</v>
      </c>
      <c r="N403" s="8"/>
      <c r="O403" s="7">
        <f t="shared" si="6"/>
        <v>5810336</v>
      </c>
      <c r="P403" s="7">
        <v>18765839</v>
      </c>
      <c r="Q403" s="7">
        <v>1598730</v>
      </c>
      <c r="R403" s="7">
        <v>20364569</v>
      </c>
      <c r="S403" s="9">
        <v>1.230491571984693E-2</v>
      </c>
      <c r="T403" s="10"/>
    </row>
    <row r="404" spans="1:20" customFormat="1">
      <c r="A404" s="12" t="s">
        <v>387</v>
      </c>
      <c r="B404" t="s">
        <v>730</v>
      </c>
      <c r="C404" t="s">
        <v>155</v>
      </c>
      <c r="D404" t="s">
        <v>128</v>
      </c>
      <c r="E404" t="s">
        <v>152</v>
      </c>
      <c r="F404" s="4"/>
      <c r="G404" s="7">
        <v>22996532</v>
      </c>
      <c r="H404" s="7">
        <v>22901718</v>
      </c>
      <c r="I404" s="8"/>
      <c r="J404" s="7">
        <v>5730601</v>
      </c>
      <c r="K404" s="7">
        <v>15910112</v>
      </c>
      <c r="L404" s="7">
        <v>1261005</v>
      </c>
      <c r="M404" s="7">
        <v>17171117</v>
      </c>
      <c r="N404" s="8"/>
      <c r="O404" s="7">
        <f t="shared" si="6"/>
        <v>5467518</v>
      </c>
      <c r="P404" s="7">
        <v>15987910</v>
      </c>
      <c r="Q404" s="7">
        <v>1446290</v>
      </c>
      <c r="R404" s="7">
        <v>17434200</v>
      </c>
      <c r="S404" s="9">
        <v>1.1487478799625426E-2</v>
      </c>
      <c r="T404" s="10"/>
    </row>
    <row r="405" spans="1:20" customFormat="1">
      <c r="A405" s="12" t="s">
        <v>35</v>
      </c>
      <c r="B405" t="s">
        <v>732</v>
      </c>
      <c r="C405" t="s">
        <v>157</v>
      </c>
      <c r="D405" t="s">
        <v>126</v>
      </c>
      <c r="E405" t="s">
        <v>151</v>
      </c>
      <c r="F405" s="4"/>
      <c r="G405" s="7">
        <v>13005832</v>
      </c>
      <c r="H405" s="7">
        <v>12934424</v>
      </c>
      <c r="I405" s="8"/>
      <c r="J405" s="7">
        <v>3724184</v>
      </c>
      <c r="K405" s="7">
        <v>8569174</v>
      </c>
      <c r="L405" s="7">
        <v>641066</v>
      </c>
      <c r="M405" s="7">
        <v>9210240</v>
      </c>
      <c r="N405" s="8"/>
      <c r="O405" s="7">
        <f t="shared" si="6"/>
        <v>3573802</v>
      </c>
      <c r="P405" s="7">
        <v>8624462</v>
      </c>
      <c r="Q405" s="7">
        <v>736160</v>
      </c>
      <c r="R405" s="7">
        <v>9360622</v>
      </c>
      <c r="S405" s="9">
        <v>1.1626493765783463E-2</v>
      </c>
      <c r="T405" s="10"/>
    </row>
    <row r="406" spans="1:20" customFormat="1">
      <c r="A406" s="12" t="s">
        <v>269</v>
      </c>
      <c r="B406" t="s">
        <v>921</v>
      </c>
      <c r="C406" t="s">
        <v>158</v>
      </c>
      <c r="D406" t="s">
        <v>126</v>
      </c>
      <c r="E406" t="s">
        <v>152</v>
      </c>
      <c r="F406" s="4"/>
      <c r="G406" s="7">
        <v>18823804</v>
      </c>
      <c r="H406" s="7">
        <v>18712646</v>
      </c>
      <c r="I406" s="8"/>
      <c r="J406" s="7">
        <v>5663790</v>
      </c>
      <c r="K406" s="7">
        <v>12091749</v>
      </c>
      <c r="L406" s="7">
        <v>957107</v>
      </c>
      <c r="M406" s="7">
        <v>13048856</v>
      </c>
      <c r="N406" s="8"/>
      <c r="O406" s="7">
        <f t="shared" si="6"/>
        <v>5465162</v>
      </c>
      <c r="P406" s="7">
        <v>12156097</v>
      </c>
      <c r="Q406" s="7">
        <v>1091387</v>
      </c>
      <c r="R406" s="7">
        <v>13247484</v>
      </c>
      <c r="S406" s="9">
        <v>1.0614639960591357E-2</v>
      </c>
      <c r="T406" s="10"/>
    </row>
    <row r="407" spans="1:20" customFormat="1">
      <c r="A407" s="12" t="s">
        <v>264</v>
      </c>
      <c r="B407" t="s">
        <v>733</v>
      </c>
      <c r="C407" t="s">
        <v>158</v>
      </c>
      <c r="D407" t="s">
        <v>126</v>
      </c>
      <c r="E407" t="s">
        <v>152</v>
      </c>
      <c r="F407" s="4"/>
      <c r="G407" s="7">
        <v>17255262</v>
      </c>
      <c r="H407" s="7">
        <v>16958154</v>
      </c>
      <c r="I407" s="8"/>
      <c r="J407" s="7">
        <v>4045454</v>
      </c>
      <c r="K407" s="7">
        <v>12013109</v>
      </c>
      <c r="L407" s="7">
        <v>899591</v>
      </c>
      <c r="M407" s="7">
        <v>12912700</v>
      </c>
      <c r="N407" s="8"/>
      <c r="O407" s="7">
        <f t="shared" si="6"/>
        <v>3835928</v>
      </c>
      <c r="P407" s="7">
        <v>12083811</v>
      </c>
      <c r="Q407" s="7">
        <v>1038415</v>
      </c>
      <c r="R407" s="7">
        <v>13122226</v>
      </c>
      <c r="S407" s="9">
        <v>1.2355472181700909E-2</v>
      </c>
      <c r="T407" s="10"/>
    </row>
    <row r="408" spans="1:20" customFormat="1">
      <c r="A408" s="12" t="s">
        <v>265</v>
      </c>
      <c r="B408" t="s">
        <v>734</v>
      </c>
      <c r="C408" t="s">
        <v>158</v>
      </c>
      <c r="D408" t="s">
        <v>128</v>
      </c>
      <c r="E408" t="s">
        <v>152</v>
      </c>
      <c r="F408" s="4"/>
      <c r="G408" s="7">
        <v>17370202</v>
      </c>
      <c r="H408" s="7">
        <v>17302248</v>
      </c>
      <c r="I408" s="8"/>
      <c r="J408" s="7">
        <v>4200399</v>
      </c>
      <c r="K408" s="7">
        <v>12198602</v>
      </c>
      <c r="L408" s="7">
        <v>903247</v>
      </c>
      <c r="M408" s="7">
        <v>13101849</v>
      </c>
      <c r="N408" s="8"/>
      <c r="O408" s="7">
        <f t="shared" si="6"/>
        <v>3996024</v>
      </c>
      <c r="P408" s="7">
        <v>12259778</v>
      </c>
      <c r="Q408" s="7">
        <v>1046446</v>
      </c>
      <c r="R408" s="7">
        <v>13306224</v>
      </c>
      <c r="S408" s="9">
        <v>1.1812048931445209E-2</v>
      </c>
      <c r="T408" s="10"/>
    </row>
    <row r="409" spans="1:20" customFormat="1">
      <c r="A409" s="12" t="s">
        <v>193</v>
      </c>
      <c r="B409" t="s">
        <v>736</v>
      </c>
      <c r="C409" t="s">
        <v>154</v>
      </c>
      <c r="D409" t="s">
        <v>128</v>
      </c>
      <c r="E409" t="s">
        <v>152</v>
      </c>
      <c r="F409" s="4"/>
      <c r="G409" s="7">
        <v>44269526</v>
      </c>
      <c r="H409" s="7">
        <v>44266065</v>
      </c>
      <c r="I409" s="8"/>
      <c r="J409" s="7">
        <v>13800253</v>
      </c>
      <c r="K409" s="7">
        <v>28201589</v>
      </c>
      <c r="L409" s="7">
        <v>2264223</v>
      </c>
      <c r="M409" s="7">
        <v>30465812</v>
      </c>
      <c r="N409" s="8"/>
      <c r="O409" s="7">
        <f t="shared" si="6"/>
        <v>13322156</v>
      </c>
      <c r="P409" s="7">
        <v>28356600</v>
      </c>
      <c r="Q409" s="7">
        <v>2587309</v>
      </c>
      <c r="R409" s="7">
        <v>30943909</v>
      </c>
      <c r="S409" s="9">
        <v>1.0800530835528298E-2</v>
      </c>
      <c r="T409" s="10"/>
    </row>
    <row r="410" spans="1:20" customFormat="1">
      <c r="A410" s="12" t="s">
        <v>39</v>
      </c>
      <c r="B410" t="s">
        <v>737</v>
      </c>
      <c r="C410" t="s">
        <v>157</v>
      </c>
      <c r="D410" t="s">
        <v>126</v>
      </c>
      <c r="E410" t="s">
        <v>152</v>
      </c>
      <c r="F410" s="4"/>
      <c r="G410" s="7">
        <v>20777914</v>
      </c>
      <c r="H410" s="7">
        <v>20523348</v>
      </c>
      <c r="I410" s="8"/>
      <c r="J410" s="7">
        <v>4954484</v>
      </c>
      <c r="K410" s="7">
        <v>14458650</v>
      </c>
      <c r="L410" s="7">
        <v>1110214</v>
      </c>
      <c r="M410" s="7">
        <v>15568864</v>
      </c>
      <c r="N410" s="8"/>
      <c r="O410" s="7">
        <f t="shared" si="6"/>
        <v>4709659</v>
      </c>
      <c r="P410" s="7">
        <v>14539316</v>
      </c>
      <c r="Q410" s="7">
        <v>1274373</v>
      </c>
      <c r="R410" s="7">
        <v>15813689</v>
      </c>
      <c r="S410" s="9">
        <v>1.1929096558709622E-2</v>
      </c>
      <c r="T410" s="10"/>
    </row>
    <row r="411" spans="1:20" customFormat="1">
      <c r="A411" s="12" t="s">
        <v>72</v>
      </c>
      <c r="B411" t="s">
        <v>738</v>
      </c>
      <c r="C411" t="s">
        <v>155</v>
      </c>
      <c r="D411" t="s">
        <v>128</v>
      </c>
      <c r="E411" t="s">
        <v>151</v>
      </c>
      <c r="F411" s="4"/>
      <c r="G411" s="7">
        <v>16437646</v>
      </c>
      <c r="H411" s="7">
        <v>16394925</v>
      </c>
      <c r="I411" s="8"/>
      <c r="J411" s="7">
        <v>3764680</v>
      </c>
      <c r="K411" s="7">
        <v>11726391</v>
      </c>
      <c r="L411" s="7">
        <v>903854</v>
      </c>
      <c r="M411" s="7">
        <v>12630245</v>
      </c>
      <c r="N411" s="8"/>
      <c r="O411" s="7">
        <f t="shared" si="6"/>
        <v>3566242</v>
      </c>
      <c r="P411" s="7">
        <v>11788252</v>
      </c>
      <c r="Q411" s="7">
        <v>1040431</v>
      </c>
      <c r="R411" s="7">
        <v>12828683</v>
      </c>
      <c r="S411" s="9">
        <v>1.2103623529842313E-2</v>
      </c>
      <c r="T411" s="10"/>
    </row>
    <row r="412" spans="1:20" customFormat="1">
      <c r="A412" s="12" t="s">
        <v>138</v>
      </c>
      <c r="B412" t="s">
        <v>739</v>
      </c>
      <c r="C412" t="s">
        <v>154</v>
      </c>
      <c r="D412" t="s">
        <v>128</v>
      </c>
      <c r="E412" t="s">
        <v>151</v>
      </c>
      <c r="F412" s="4"/>
      <c r="G412" s="7">
        <v>16384414</v>
      </c>
      <c r="H412" s="7">
        <v>16383205</v>
      </c>
      <c r="I412" s="8"/>
      <c r="J412" s="7">
        <v>3692982</v>
      </c>
      <c r="K412" s="7">
        <v>11809608</v>
      </c>
      <c r="L412" s="7">
        <v>880615</v>
      </c>
      <c r="M412" s="7">
        <v>12690223</v>
      </c>
      <c r="N412" s="8"/>
      <c r="O412" s="7">
        <f t="shared" si="6"/>
        <v>3505222</v>
      </c>
      <c r="P412" s="7">
        <v>11863137</v>
      </c>
      <c r="Q412" s="7">
        <v>1014846</v>
      </c>
      <c r="R412" s="7">
        <v>12877983</v>
      </c>
      <c r="S412" s="9">
        <v>1.1460517035586138E-2</v>
      </c>
      <c r="T412" s="10"/>
    </row>
    <row r="413" spans="1:20" customFormat="1">
      <c r="A413" s="12" t="s">
        <v>99</v>
      </c>
      <c r="B413" t="s">
        <v>740</v>
      </c>
      <c r="C413" t="s">
        <v>155</v>
      </c>
      <c r="D413" t="s">
        <v>128</v>
      </c>
      <c r="E413" t="s">
        <v>152</v>
      </c>
      <c r="F413" s="4"/>
      <c r="G413" s="7">
        <v>30426548</v>
      </c>
      <c r="H413" s="7">
        <v>30290910</v>
      </c>
      <c r="I413" s="8"/>
      <c r="J413" s="7">
        <v>7827091</v>
      </c>
      <c r="K413" s="7">
        <v>20971883</v>
      </c>
      <c r="L413" s="7">
        <v>1491936</v>
      </c>
      <c r="M413" s="7">
        <v>22463819</v>
      </c>
      <c r="N413" s="8"/>
      <c r="O413" s="7">
        <f t="shared" si="6"/>
        <v>7486197</v>
      </c>
      <c r="P413" s="7">
        <v>21064065</v>
      </c>
      <c r="Q413" s="7">
        <v>1740648</v>
      </c>
      <c r="R413" s="7">
        <v>22804713</v>
      </c>
      <c r="S413" s="9">
        <v>1.1254003263685376E-2</v>
      </c>
      <c r="T413" s="10"/>
    </row>
    <row r="414" spans="1:20" customFormat="1">
      <c r="A414" s="12" t="s">
        <v>204</v>
      </c>
      <c r="B414" t="s">
        <v>741</v>
      </c>
      <c r="C414" t="s">
        <v>154</v>
      </c>
      <c r="D414" t="s">
        <v>128</v>
      </c>
      <c r="E414" t="s">
        <v>152</v>
      </c>
      <c r="F414" s="4"/>
      <c r="G414" s="7">
        <v>53300974</v>
      </c>
      <c r="H414" s="7">
        <v>53298846</v>
      </c>
      <c r="I414" s="8"/>
      <c r="J414" s="7">
        <v>12489970</v>
      </c>
      <c r="K414" s="7">
        <v>38107037</v>
      </c>
      <c r="L414" s="7">
        <v>2701839</v>
      </c>
      <c r="M414" s="7">
        <v>40808876</v>
      </c>
      <c r="N414" s="8"/>
      <c r="O414" s="7">
        <f t="shared" si="6"/>
        <v>11895025</v>
      </c>
      <c r="P414" s="7">
        <v>38281638</v>
      </c>
      <c r="Q414" s="7">
        <v>3122183</v>
      </c>
      <c r="R414" s="7">
        <v>41403821</v>
      </c>
      <c r="S414" s="9">
        <v>1.1162436800226407E-2</v>
      </c>
      <c r="T414" s="10"/>
    </row>
    <row r="415" spans="1:20" customFormat="1">
      <c r="A415" s="12" t="s">
        <v>288</v>
      </c>
      <c r="B415" t="s">
        <v>743</v>
      </c>
      <c r="C415" t="s">
        <v>122</v>
      </c>
      <c r="D415" t="s">
        <v>126</v>
      </c>
      <c r="E415" t="s">
        <v>152</v>
      </c>
      <c r="F415" s="4"/>
      <c r="G415" s="7">
        <v>27264386</v>
      </c>
      <c r="H415" s="7">
        <v>27142723</v>
      </c>
      <c r="I415" s="8"/>
      <c r="J415" s="7">
        <v>8361387</v>
      </c>
      <c r="K415" s="7">
        <v>17455900</v>
      </c>
      <c r="L415" s="7">
        <v>1325436</v>
      </c>
      <c r="M415" s="7">
        <v>18781336</v>
      </c>
      <c r="N415" s="8"/>
      <c r="O415" s="7">
        <f t="shared" si="6"/>
        <v>8065795</v>
      </c>
      <c r="P415" s="7">
        <v>17553296</v>
      </c>
      <c r="Q415" s="7">
        <v>1523632</v>
      </c>
      <c r="R415" s="7">
        <v>19076928</v>
      </c>
      <c r="S415" s="9">
        <v>1.089028539988416E-2</v>
      </c>
      <c r="T415" s="10"/>
    </row>
    <row r="416" spans="1:20" customFormat="1">
      <c r="A416" s="12" t="s">
        <v>278</v>
      </c>
      <c r="B416" t="s">
        <v>744</v>
      </c>
      <c r="C416" t="s">
        <v>122</v>
      </c>
      <c r="D416" t="s">
        <v>126</v>
      </c>
      <c r="E416" t="s">
        <v>152</v>
      </c>
      <c r="F416" s="4"/>
      <c r="G416" s="7">
        <v>28960174</v>
      </c>
      <c r="H416" s="7">
        <v>28540159</v>
      </c>
      <c r="I416" s="8"/>
      <c r="J416" s="7">
        <v>6860754</v>
      </c>
      <c r="K416" s="7">
        <v>20101773</v>
      </c>
      <c r="L416" s="7">
        <v>1577632</v>
      </c>
      <c r="M416" s="7">
        <v>21679405</v>
      </c>
      <c r="N416" s="8"/>
      <c r="O416" s="7">
        <f t="shared" si="6"/>
        <v>6539855</v>
      </c>
      <c r="P416" s="7">
        <v>20196358</v>
      </c>
      <c r="Q416" s="7">
        <v>1803946</v>
      </c>
      <c r="R416" s="7">
        <v>22000304</v>
      </c>
      <c r="S416" s="9">
        <v>1.12437705760504E-2</v>
      </c>
      <c r="T416" s="10"/>
    </row>
    <row r="417" spans="1:20" customFormat="1">
      <c r="A417" s="12" t="s">
        <v>188</v>
      </c>
      <c r="B417" t="s">
        <v>745</v>
      </c>
      <c r="C417" t="s">
        <v>154</v>
      </c>
      <c r="D417" t="s">
        <v>128</v>
      </c>
      <c r="E417" t="s">
        <v>152</v>
      </c>
      <c r="F417" s="4"/>
      <c r="G417" s="7">
        <v>45099828</v>
      </c>
      <c r="H417" s="7">
        <v>45097054</v>
      </c>
      <c r="I417" s="8"/>
      <c r="J417" s="7">
        <v>16835376</v>
      </c>
      <c r="K417" s="7">
        <v>25793100</v>
      </c>
      <c r="L417" s="7">
        <v>2468578</v>
      </c>
      <c r="M417" s="7">
        <v>28261678</v>
      </c>
      <c r="N417" s="8"/>
      <c r="O417" s="7">
        <f t="shared" si="6"/>
        <v>16417196</v>
      </c>
      <c r="P417" s="7">
        <v>25924769</v>
      </c>
      <c r="Q417" s="7">
        <v>2755089</v>
      </c>
      <c r="R417" s="7">
        <v>28679858</v>
      </c>
      <c r="S417" s="9">
        <v>9.272889532872813E-3</v>
      </c>
      <c r="T417" s="10"/>
    </row>
    <row r="418" spans="1:20" customFormat="1">
      <c r="A418" s="12" t="s">
        <v>140</v>
      </c>
      <c r="B418" t="s">
        <v>746</v>
      </c>
      <c r="C418" t="s">
        <v>154</v>
      </c>
      <c r="D418" t="s">
        <v>128</v>
      </c>
      <c r="E418" t="s">
        <v>151</v>
      </c>
      <c r="F418" s="4"/>
      <c r="G418" s="7">
        <v>16110204</v>
      </c>
      <c r="H418" s="7">
        <v>16109285</v>
      </c>
      <c r="I418" s="8"/>
      <c r="J418" s="7">
        <v>4006500</v>
      </c>
      <c r="K418" s="7">
        <v>11239586</v>
      </c>
      <c r="L418" s="7">
        <v>863199</v>
      </c>
      <c r="M418" s="7">
        <v>12102785</v>
      </c>
      <c r="N418" s="8"/>
      <c r="O418" s="7">
        <f t="shared" si="6"/>
        <v>3817418</v>
      </c>
      <c r="P418" s="7">
        <v>11300076</v>
      </c>
      <c r="Q418" s="7">
        <v>991791</v>
      </c>
      <c r="R418" s="7">
        <v>12291867</v>
      </c>
      <c r="S418" s="9">
        <v>1.1737454517689642E-2</v>
      </c>
      <c r="T418" s="10"/>
    </row>
    <row r="419" spans="1:20" customFormat="1">
      <c r="A419" s="12" t="s">
        <v>930</v>
      </c>
      <c r="B419" t="s">
        <v>931</v>
      </c>
      <c r="C419" t="s">
        <v>158</v>
      </c>
      <c r="D419" t="s">
        <v>126</v>
      </c>
      <c r="E419" t="s">
        <v>152</v>
      </c>
      <c r="F419" s="4"/>
      <c r="G419" s="7">
        <v>16268384</v>
      </c>
      <c r="H419" s="7">
        <v>15991872</v>
      </c>
      <c r="I419" s="8"/>
      <c r="J419" s="7">
        <v>4584086</v>
      </c>
      <c r="K419" s="7">
        <v>10630822</v>
      </c>
      <c r="L419" s="7">
        <v>776964</v>
      </c>
      <c r="M419" s="7">
        <v>11407786</v>
      </c>
      <c r="N419" s="8"/>
      <c r="O419" s="7">
        <f t="shared" si="6"/>
        <v>4396191</v>
      </c>
      <c r="P419" s="7">
        <v>10697399</v>
      </c>
      <c r="Q419" s="7">
        <v>898282</v>
      </c>
      <c r="R419" s="7">
        <v>11595681</v>
      </c>
      <c r="S419" s="9">
        <v>1.1749406198348761E-2</v>
      </c>
      <c r="T419" s="10"/>
    </row>
    <row r="420" spans="1:20" customFormat="1">
      <c r="A420" s="12" t="s">
        <v>273</v>
      </c>
      <c r="B420" t="s">
        <v>932</v>
      </c>
      <c r="C420" t="s">
        <v>158</v>
      </c>
      <c r="D420" t="s">
        <v>126</v>
      </c>
      <c r="E420" t="s">
        <v>152</v>
      </c>
      <c r="F420" s="4"/>
      <c r="G420" s="7">
        <v>28567862</v>
      </c>
      <c r="H420" s="7">
        <v>28422505</v>
      </c>
      <c r="I420" s="8"/>
      <c r="J420" s="7">
        <v>7366915</v>
      </c>
      <c r="K420" s="7">
        <v>19519373</v>
      </c>
      <c r="L420" s="7">
        <v>1536217</v>
      </c>
      <c r="M420" s="7">
        <v>21055590</v>
      </c>
      <c r="N420" s="8"/>
      <c r="O420" s="7">
        <f t="shared" si="6"/>
        <v>7010789</v>
      </c>
      <c r="P420" s="7">
        <v>19656094</v>
      </c>
      <c r="Q420" s="7">
        <v>1755622</v>
      </c>
      <c r="R420" s="7">
        <v>21411716</v>
      </c>
      <c r="S420" s="9">
        <v>1.2529718967416842E-2</v>
      </c>
      <c r="T420" s="10"/>
    </row>
    <row r="421" spans="1:20" customFormat="1">
      <c r="A421" s="12" t="s">
        <v>65</v>
      </c>
      <c r="B421" t="s">
        <v>747</v>
      </c>
      <c r="C421" t="s">
        <v>155</v>
      </c>
      <c r="D421" t="s">
        <v>128</v>
      </c>
      <c r="E421" t="s">
        <v>152</v>
      </c>
      <c r="F421" s="4"/>
      <c r="G421" s="7">
        <v>27265904</v>
      </c>
      <c r="H421" s="7">
        <v>27124099</v>
      </c>
      <c r="I421" s="8"/>
      <c r="J421" s="7">
        <v>10234786</v>
      </c>
      <c r="K421" s="7">
        <v>15662991</v>
      </c>
      <c r="L421" s="7">
        <v>1226322</v>
      </c>
      <c r="M421" s="7">
        <v>16889313</v>
      </c>
      <c r="N421" s="8"/>
      <c r="O421" s="7">
        <f t="shared" si="6"/>
        <v>9961854</v>
      </c>
      <c r="P421" s="7">
        <v>15756371</v>
      </c>
      <c r="Q421" s="7">
        <v>1405874</v>
      </c>
      <c r="R421" s="7">
        <v>17162245</v>
      </c>
      <c r="S421" s="9">
        <v>1.0062343453325399E-2</v>
      </c>
      <c r="T421" s="10"/>
    </row>
    <row r="422" spans="1:20" customFormat="1">
      <c r="A422" s="12" t="s">
        <v>246</v>
      </c>
      <c r="B422" t="s">
        <v>748</v>
      </c>
      <c r="C422" t="s">
        <v>158</v>
      </c>
      <c r="D422" t="s">
        <v>128</v>
      </c>
      <c r="E422" t="s">
        <v>152</v>
      </c>
      <c r="F422" s="4"/>
      <c r="G422" s="7">
        <v>21496828</v>
      </c>
      <c r="H422" s="7">
        <v>21402588</v>
      </c>
      <c r="I422" s="8"/>
      <c r="J422" s="7">
        <v>5686330</v>
      </c>
      <c r="K422" s="7">
        <v>14605500</v>
      </c>
      <c r="L422" s="7">
        <v>1110758</v>
      </c>
      <c r="M422" s="7">
        <v>15716258</v>
      </c>
      <c r="N422" s="8"/>
      <c r="O422" s="7">
        <f t="shared" si="6"/>
        <v>5440641</v>
      </c>
      <c r="P422" s="7">
        <v>14686972</v>
      </c>
      <c r="Q422" s="7">
        <v>1274975</v>
      </c>
      <c r="R422" s="7">
        <v>15961947</v>
      </c>
      <c r="S422" s="9">
        <v>1.1479406135370171E-2</v>
      </c>
      <c r="T422" s="10"/>
    </row>
    <row r="423" spans="1:20" customFormat="1">
      <c r="A423" s="12" t="s">
        <v>176</v>
      </c>
      <c r="B423" t="s">
        <v>749</v>
      </c>
      <c r="C423" t="s">
        <v>154</v>
      </c>
      <c r="D423" t="s">
        <v>128</v>
      </c>
      <c r="E423" t="s">
        <v>152</v>
      </c>
      <c r="F423" s="4"/>
      <c r="G423" s="7">
        <v>18573112</v>
      </c>
      <c r="H423" s="7">
        <v>18571952</v>
      </c>
      <c r="I423" s="8"/>
      <c r="J423" s="7">
        <v>4754517</v>
      </c>
      <c r="K423" s="7">
        <v>12855766</v>
      </c>
      <c r="L423" s="7">
        <v>961669</v>
      </c>
      <c r="M423" s="7">
        <v>13817435</v>
      </c>
      <c r="N423" s="8"/>
      <c r="O423" s="7">
        <f t="shared" si="6"/>
        <v>4551870</v>
      </c>
      <c r="P423" s="7">
        <v>12907875</v>
      </c>
      <c r="Q423" s="7">
        <v>1112207</v>
      </c>
      <c r="R423" s="7">
        <v>14020082</v>
      </c>
      <c r="S423" s="9">
        <v>1.0911454003327168E-2</v>
      </c>
      <c r="T423" s="10"/>
    </row>
    <row r="424" spans="1:20" customFormat="1">
      <c r="A424" s="12" t="s">
        <v>216</v>
      </c>
      <c r="B424" t="s">
        <v>751</v>
      </c>
      <c r="C424" t="s">
        <v>154</v>
      </c>
      <c r="D424" t="s">
        <v>128</v>
      </c>
      <c r="E424" t="s">
        <v>152</v>
      </c>
      <c r="F424" s="4"/>
      <c r="G424" s="7">
        <v>14863610</v>
      </c>
      <c r="H424" s="7">
        <v>14860683</v>
      </c>
      <c r="I424" s="8"/>
      <c r="J424" s="7">
        <v>5371513</v>
      </c>
      <c r="K424" s="7">
        <v>8785763</v>
      </c>
      <c r="L424" s="7">
        <v>703407</v>
      </c>
      <c r="M424" s="7">
        <v>9489170</v>
      </c>
      <c r="N424" s="8"/>
      <c r="O424" s="7">
        <f t="shared" si="6"/>
        <v>5229225</v>
      </c>
      <c r="P424" s="7">
        <v>8829543</v>
      </c>
      <c r="Q424" s="7">
        <v>801915</v>
      </c>
      <c r="R424" s="7">
        <v>9631458</v>
      </c>
      <c r="S424" s="9">
        <v>9.5747954518644943E-3</v>
      </c>
      <c r="T424" s="10"/>
    </row>
    <row r="425" spans="1:20" customFormat="1">
      <c r="A425" s="12" t="s">
        <v>203</v>
      </c>
      <c r="B425" t="s">
        <v>752</v>
      </c>
      <c r="C425" t="s">
        <v>154</v>
      </c>
      <c r="D425" t="s">
        <v>128</v>
      </c>
      <c r="E425" t="s">
        <v>152</v>
      </c>
      <c r="F425" s="4"/>
      <c r="G425" s="7">
        <v>22647994</v>
      </c>
      <c r="H425" s="7">
        <v>22646331</v>
      </c>
      <c r="I425" s="8"/>
      <c r="J425" s="7">
        <v>6002079</v>
      </c>
      <c r="K425" s="7">
        <v>15462566</v>
      </c>
      <c r="L425" s="7">
        <v>1181686</v>
      </c>
      <c r="M425" s="7">
        <v>16644252</v>
      </c>
      <c r="N425" s="8"/>
      <c r="O425" s="7">
        <f t="shared" si="6"/>
        <v>5783814</v>
      </c>
      <c r="P425" s="7">
        <v>15513758</v>
      </c>
      <c r="Q425" s="7">
        <v>1348759</v>
      </c>
      <c r="R425" s="7">
        <v>16862517</v>
      </c>
      <c r="S425" s="9">
        <v>9.6379850669850234E-3</v>
      </c>
      <c r="T425" s="10"/>
    </row>
    <row r="426" spans="1:20" customFormat="1">
      <c r="A426" s="12" t="s">
        <v>77</v>
      </c>
      <c r="B426" t="s">
        <v>753</v>
      </c>
      <c r="C426" t="s">
        <v>155</v>
      </c>
      <c r="D426" t="s">
        <v>128</v>
      </c>
      <c r="E426" t="s">
        <v>152</v>
      </c>
      <c r="F426" s="4"/>
      <c r="G426" s="7">
        <v>22966398</v>
      </c>
      <c r="H426" s="7">
        <v>22316276</v>
      </c>
      <c r="I426" s="8"/>
      <c r="J426" s="7">
        <v>4810400</v>
      </c>
      <c r="K426" s="7">
        <v>16335805</v>
      </c>
      <c r="L426" s="7">
        <v>1170071</v>
      </c>
      <c r="M426" s="7">
        <v>17505876</v>
      </c>
      <c r="N426" s="8"/>
      <c r="O426" s="7">
        <f t="shared" si="6"/>
        <v>4560196</v>
      </c>
      <c r="P426" s="7">
        <v>16406963</v>
      </c>
      <c r="Q426" s="7">
        <v>1349117</v>
      </c>
      <c r="R426" s="7">
        <v>17756080</v>
      </c>
      <c r="S426" s="9">
        <v>1.1211727261304708E-2</v>
      </c>
      <c r="T426" s="10"/>
    </row>
    <row r="427" spans="1:20" customFormat="1">
      <c r="A427" s="12" t="s">
        <v>209</v>
      </c>
      <c r="B427" t="s">
        <v>754</v>
      </c>
      <c r="C427" t="s">
        <v>154</v>
      </c>
      <c r="D427" t="s">
        <v>128</v>
      </c>
      <c r="E427" t="s">
        <v>151</v>
      </c>
      <c r="F427" s="4"/>
      <c r="G427" s="7">
        <v>12283238</v>
      </c>
      <c r="H427" s="7">
        <v>12282046</v>
      </c>
      <c r="I427" s="8"/>
      <c r="J427" s="7">
        <v>3571867</v>
      </c>
      <c r="K427" s="7">
        <v>8128654</v>
      </c>
      <c r="L427" s="7">
        <v>581525</v>
      </c>
      <c r="M427" s="7">
        <v>8710179</v>
      </c>
      <c r="N427" s="8"/>
      <c r="O427" s="7">
        <f t="shared" si="6"/>
        <v>3449994</v>
      </c>
      <c r="P427" s="7">
        <v>8161884</v>
      </c>
      <c r="Q427" s="7">
        <v>670168</v>
      </c>
      <c r="R427" s="7">
        <v>8832052</v>
      </c>
      <c r="S427" s="9">
        <v>9.9228581296634134E-3</v>
      </c>
      <c r="T427" s="10"/>
    </row>
    <row r="428" spans="1:20" customFormat="1">
      <c r="A428" s="12" t="s">
        <v>68</v>
      </c>
      <c r="B428" t="s">
        <v>755</v>
      </c>
      <c r="C428" t="s">
        <v>155</v>
      </c>
      <c r="D428" t="s">
        <v>128</v>
      </c>
      <c r="E428" t="s">
        <v>152</v>
      </c>
      <c r="F428" s="4"/>
      <c r="G428" s="7">
        <v>17503782</v>
      </c>
      <c r="H428" s="7">
        <v>17442437</v>
      </c>
      <c r="I428" s="8"/>
      <c r="J428" s="7">
        <v>6538571</v>
      </c>
      <c r="K428" s="7">
        <v>10107303</v>
      </c>
      <c r="L428" s="7">
        <v>796563</v>
      </c>
      <c r="M428" s="7">
        <v>10903866</v>
      </c>
      <c r="N428" s="8"/>
      <c r="O428" s="7">
        <f t="shared" si="6"/>
        <v>6359055</v>
      </c>
      <c r="P428" s="7">
        <v>10170774</v>
      </c>
      <c r="Q428" s="7">
        <v>912608</v>
      </c>
      <c r="R428" s="7">
        <v>11083382</v>
      </c>
      <c r="S428" s="9">
        <v>1.0291910470996684E-2</v>
      </c>
      <c r="T428" s="10"/>
    </row>
    <row r="429" spans="1:20" customFormat="1">
      <c r="A429" s="12" t="s">
        <v>114</v>
      </c>
      <c r="B429" t="s">
        <v>756</v>
      </c>
      <c r="C429" t="s">
        <v>155</v>
      </c>
      <c r="D429" t="s">
        <v>128</v>
      </c>
      <c r="E429" t="s">
        <v>151</v>
      </c>
      <c r="F429" s="4"/>
      <c r="G429" s="7">
        <v>13539670</v>
      </c>
      <c r="H429" s="7">
        <v>13467083</v>
      </c>
      <c r="I429" s="8"/>
      <c r="J429" s="7">
        <v>3178396</v>
      </c>
      <c r="K429" s="7">
        <v>9600882</v>
      </c>
      <c r="L429" s="7">
        <v>687805</v>
      </c>
      <c r="M429" s="7">
        <v>10288687</v>
      </c>
      <c r="N429" s="8"/>
      <c r="O429" s="7">
        <f t="shared" si="6"/>
        <v>3012213</v>
      </c>
      <c r="P429" s="7">
        <v>9657685</v>
      </c>
      <c r="Q429" s="7">
        <v>797185</v>
      </c>
      <c r="R429" s="7">
        <v>10454870</v>
      </c>
      <c r="S429" s="9">
        <v>1.2339940282539284E-2</v>
      </c>
      <c r="T429" s="10"/>
    </row>
    <row r="430" spans="1:20" customFormat="1">
      <c r="A430" s="12" t="s">
        <v>107</v>
      </c>
      <c r="B430" t="s">
        <v>757</v>
      </c>
      <c r="C430" t="s">
        <v>155</v>
      </c>
      <c r="D430" t="s">
        <v>128</v>
      </c>
      <c r="E430" t="s">
        <v>152</v>
      </c>
      <c r="F430" s="4"/>
      <c r="G430" s="7">
        <v>28165858</v>
      </c>
      <c r="H430" s="7">
        <v>27344577</v>
      </c>
      <c r="I430" s="8"/>
      <c r="J430" s="7">
        <v>6711708</v>
      </c>
      <c r="K430" s="7">
        <v>19212595</v>
      </c>
      <c r="L430" s="7">
        <v>1420274</v>
      </c>
      <c r="M430" s="7">
        <v>20632869</v>
      </c>
      <c r="N430" s="8"/>
      <c r="O430" s="7">
        <f t="shared" si="6"/>
        <v>6380334</v>
      </c>
      <c r="P430" s="7">
        <v>19320255</v>
      </c>
      <c r="Q430" s="7">
        <v>1643988</v>
      </c>
      <c r="R430" s="7">
        <v>20964243</v>
      </c>
      <c r="S430" s="9">
        <v>1.2118454053979332E-2</v>
      </c>
      <c r="T430" s="10"/>
    </row>
    <row r="431" spans="1:20" customFormat="1">
      <c r="A431" s="12" t="s">
        <v>401</v>
      </c>
      <c r="B431" t="s">
        <v>758</v>
      </c>
      <c r="C431" t="s">
        <v>156</v>
      </c>
      <c r="D431" t="s">
        <v>128</v>
      </c>
      <c r="E431" t="s">
        <v>152</v>
      </c>
      <c r="F431" s="4"/>
      <c r="G431" s="7">
        <v>23926722</v>
      </c>
      <c r="H431" s="7">
        <v>23851727</v>
      </c>
      <c r="I431" s="8"/>
      <c r="J431" s="7">
        <v>5154657</v>
      </c>
      <c r="K431" s="7">
        <v>17178176</v>
      </c>
      <c r="L431" s="7">
        <v>1518894</v>
      </c>
      <c r="M431" s="7">
        <v>18697070</v>
      </c>
      <c r="N431" s="8"/>
      <c r="O431" s="7">
        <f t="shared" si="6"/>
        <v>4878617</v>
      </c>
      <c r="P431" s="7">
        <v>17275553</v>
      </c>
      <c r="Q431" s="7">
        <v>1697557</v>
      </c>
      <c r="R431" s="7">
        <v>18973110</v>
      </c>
      <c r="S431" s="9">
        <v>1.1573166169476953E-2</v>
      </c>
      <c r="T431" s="10"/>
    </row>
    <row r="432" spans="1:20" customFormat="1">
      <c r="A432" s="12" t="s">
        <v>388</v>
      </c>
      <c r="B432" t="s">
        <v>760</v>
      </c>
      <c r="C432" t="s">
        <v>156</v>
      </c>
      <c r="D432" t="s">
        <v>128</v>
      </c>
      <c r="E432" t="s">
        <v>152</v>
      </c>
      <c r="F432" s="4"/>
      <c r="G432" s="7">
        <v>20465210</v>
      </c>
      <c r="H432" s="7">
        <v>20404987</v>
      </c>
      <c r="I432" s="8"/>
      <c r="J432" s="7">
        <v>4495654</v>
      </c>
      <c r="K432" s="7">
        <v>14712854</v>
      </c>
      <c r="L432" s="7">
        <v>1196479</v>
      </c>
      <c r="M432" s="7">
        <v>15909333</v>
      </c>
      <c r="N432" s="8"/>
      <c r="O432" s="7">
        <f t="shared" si="6"/>
        <v>4238898</v>
      </c>
      <c r="P432" s="7">
        <v>14812298</v>
      </c>
      <c r="Q432" s="7">
        <v>1353791</v>
      </c>
      <c r="R432" s="7">
        <v>16166089</v>
      </c>
      <c r="S432" s="9">
        <v>1.2583002380741531E-2</v>
      </c>
      <c r="T432" s="10"/>
    </row>
    <row r="433" spans="1:20" customFormat="1">
      <c r="A433" s="12" t="s">
        <v>408</v>
      </c>
      <c r="B433" t="s">
        <v>761</v>
      </c>
      <c r="C433" t="s">
        <v>156</v>
      </c>
      <c r="D433" t="s">
        <v>128</v>
      </c>
      <c r="E433" t="s">
        <v>152</v>
      </c>
      <c r="F433" s="4"/>
      <c r="G433" s="7">
        <v>17512454</v>
      </c>
      <c r="H433" s="7">
        <v>17439152</v>
      </c>
      <c r="I433" s="8"/>
      <c r="J433" s="7">
        <v>4133197</v>
      </c>
      <c r="K433" s="7">
        <v>12352298</v>
      </c>
      <c r="L433" s="7">
        <v>953657</v>
      </c>
      <c r="M433" s="7">
        <v>13305955</v>
      </c>
      <c r="N433" s="8"/>
      <c r="O433" s="7">
        <f t="shared" si="6"/>
        <v>3923162</v>
      </c>
      <c r="P433" s="7">
        <v>12431567</v>
      </c>
      <c r="Q433" s="7">
        <v>1084423</v>
      </c>
      <c r="R433" s="7">
        <v>13515990</v>
      </c>
      <c r="S433" s="9">
        <v>1.2043876904106347E-2</v>
      </c>
      <c r="T433" s="10"/>
    </row>
    <row r="434" spans="1:20" customFormat="1">
      <c r="A434" s="12" t="s">
        <v>405</v>
      </c>
      <c r="B434" t="s">
        <v>763</v>
      </c>
      <c r="C434" t="s">
        <v>156</v>
      </c>
      <c r="D434" t="s">
        <v>128</v>
      </c>
      <c r="E434" t="s">
        <v>152</v>
      </c>
      <c r="F434" s="4"/>
      <c r="G434" s="7">
        <v>25583528</v>
      </c>
      <c r="H434" s="7">
        <v>25042823</v>
      </c>
      <c r="I434" s="8"/>
      <c r="J434" s="7">
        <v>6054811</v>
      </c>
      <c r="K434" s="7">
        <v>17640060</v>
      </c>
      <c r="L434" s="7">
        <v>1347952</v>
      </c>
      <c r="M434" s="7">
        <v>18988012</v>
      </c>
      <c r="N434" s="8"/>
      <c r="O434" s="7">
        <f t="shared" si="6"/>
        <v>5752480</v>
      </c>
      <c r="P434" s="7">
        <v>17750077</v>
      </c>
      <c r="Q434" s="7">
        <v>1540266</v>
      </c>
      <c r="R434" s="7">
        <v>19290343</v>
      </c>
      <c r="S434" s="9">
        <v>1.2072560669378209E-2</v>
      </c>
      <c r="T434" s="10"/>
    </row>
    <row r="435" spans="1:20" customFormat="1">
      <c r="A435" s="12" t="s">
        <v>444</v>
      </c>
      <c r="B435" t="s">
        <v>765</v>
      </c>
      <c r="C435" t="s">
        <v>156</v>
      </c>
      <c r="D435" t="s">
        <v>128</v>
      </c>
      <c r="E435" t="s">
        <v>152</v>
      </c>
      <c r="F435" s="4"/>
      <c r="G435" s="7">
        <v>35545602</v>
      </c>
      <c r="H435" s="7">
        <v>35388922</v>
      </c>
      <c r="I435" s="8"/>
      <c r="J435" s="7">
        <v>7627241</v>
      </c>
      <c r="K435" s="7">
        <v>25688275</v>
      </c>
      <c r="L435" s="7">
        <v>2073406</v>
      </c>
      <c r="M435" s="7">
        <v>27761681</v>
      </c>
      <c r="N435" s="8"/>
      <c r="O435" s="7">
        <f t="shared" si="6"/>
        <v>7200973</v>
      </c>
      <c r="P435" s="7">
        <v>25828367</v>
      </c>
      <c r="Q435" s="7">
        <v>2359582</v>
      </c>
      <c r="R435" s="7">
        <v>28187949</v>
      </c>
      <c r="S435" s="9">
        <v>1.20452383375792E-2</v>
      </c>
      <c r="T435" s="10"/>
    </row>
    <row r="436" spans="1:20" customFormat="1">
      <c r="A436" s="12" t="s">
        <v>390</v>
      </c>
      <c r="B436" t="s">
        <v>766</v>
      </c>
      <c r="C436" t="s">
        <v>156</v>
      </c>
      <c r="D436" t="s">
        <v>128</v>
      </c>
      <c r="E436" t="s">
        <v>152</v>
      </c>
      <c r="F436" s="4"/>
      <c r="G436" s="7">
        <v>21999130</v>
      </c>
      <c r="H436" s="7">
        <v>21875536</v>
      </c>
      <c r="I436" s="8"/>
      <c r="J436" s="7">
        <v>4344795</v>
      </c>
      <c r="K436" s="7">
        <v>16231011</v>
      </c>
      <c r="L436" s="7">
        <v>1299730</v>
      </c>
      <c r="M436" s="7">
        <v>17530741</v>
      </c>
      <c r="N436" s="8"/>
      <c r="O436" s="7">
        <f t="shared" si="6"/>
        <v>4107831</v>
      </c>
      <c r="P436" s="7">
        <v>16306437</v>
      </c>
      <c r="Q436" s="7">
        <v>1461268</v>
      </c>
      <c r="R436" s="7">
        <v>17767705</v>
      </c>
      <c r="S436" s="9">
        <v>1.0832374575873249E-2</v>
      </c>
      <c r="T436" s="10"/>
    </row>
    <row r="437" spans="1:20" customFormat="1">
      <c r="A437" s="12" t="s">
        <v>396</v>
      </c>
      <c r="B437" t="s">
        <v>767</v>
      </c>
      <c r="C437" t="s">
        <v>156</v>
      </c>
      <c r="D437" t="s">
        <v>128</v>
      </c>
      <c r="E437" t="s">
        <v>152</v>
      </c>
      <c r="F437" s="4"/>
      <c r="G437" s="7">
        <v>23304186</v>
      </c>
      <c r="H437" s="7">
        <v>22975796</v>
      </c>
      <c r="I437" s="8"/>
      <c r="J437" s="7">
        <v>5073975</v>
      </c>
      <c r="K437" s="7">
        <v>16579271</v>
      </c>
      <c r="L437" s="7">
        <v>1322550</v>
      </c>
      <c r="M437" s="7">
        <v>17901821</v>
      </c>
      <c r="N437" s="8"/>
      <c r="O437" s="7">
        <f t="shared" si="6"/>
        <v>4799325</v>
      </c>
      <c r="P437" s="7">
        <v>16675530</v>
      </c>
      <c r="Q437" s="7">
        <v>1500941</v>
      </c>
      <c r="R437" s="7">
        <v>18176471</v>
      </c>
      <c r="S437" s="9">
        <v>1.1953883991658004E-2</v>
      </c>
      <c r="T437" s="10"/>
    </row>
    <row r="438" spans="1:20" customFormat="1">
      <c r="A438" s="12" t="s">
        <v>392</v>
      </c>
      <c r="B438" t="s">
        <v>768</v>
      </c>
      <c r="C438" t="s">
        <v>156</v>
      </c>
      <c r="D438" t="s">
        <v>128</v>
      </c>
      <c r="E438" t="s">
        <v>152</v>
      </c>
      <c r="F438" s="4"/>
      <c r="G438" s="7">
        <v>21817228</v>
      </c>
      <c r="H438" s="7">
        <v>20979499</v>
      </c>
      <c r="I438" s="8"/>
      <c r="J438" s="7">
        <v>4455465</v>
      </c>
      <c r="K438" s="7">
        <v>15330154</v>
      </c>
      <c r="L438" s="7">
        <v>1193880</v>
      </c>
      <c r="M438" s="7">
        <v>16524034</v>
      </c>
      <c r="N438" s="8"/>
      <c r="O438" s="7">
        <f t="shared" si="6"/>
        <v>4201879</v>
      </c>
      <c r="P438" s="7">
        <v>15421990</v>
      </c>
      <c r="Q438" s="7">
        <v>1355630</v>
      </c>
      <c r="R438" s="7">
        <v>16777620</v>
      </c>
      <c r="S438" s="9">
        <v>1.2087323915599701E-2</v>
      </c>
      <c r="T438" s="10"/>
    </row>
    <row r="439" spans="1:20" customFormat="1">
      <c r="A439" s="12" t="s">
        <v>413</v>
      </c>
      <c r="B439" t="s">
        <v>769</v>
      </c>
      <c r="C439" t="s">
        <v>156</v>
      </c>
      <c r="D439" t="s">
        <v>128</v>
      </c>
      <c r="E439" t="s">
        <v>152</v>
      </c>
      <c r="F439" s="4"/>
      <c r="G439" s="7">
        <v>26222518</v>
      </c>
      <c r="H439" s="7">
        <v>25897739</v>
      </c>
      <c r="I439" s="8"/>
      <c r="J439" s="7">
        <v>5398917</v>
      </c>
      <c r="K439" s="7">
        <v>19005466</v>
      </c>
      <c r="L439" s="7">
        <v>1493356</v>
      </c>
      <c r="M439" s="7">
        <v>20498822</v>
      </c>
      <c r="N439" s="8"/>
      <c r="O439" s="7">
        <f t="shared" si="6"/>
        <v>5115838</v>
      </c>
      <c r="P439" s="7">
        <v>19090436</v>
      </c>
      <c r="Q439" s="7">
        <v>1691465</v>
      </c>
      <c r="R439" s="7">
        <v>20781901</v>
      </c>
      <c r="S439" s="9">
        <v>1.0930645335486624E-2</v>
      </c>
      <c r="T439" s="10"/>
    </row>
    <row r="440" spans="1:20" customFormat="1">
      <c r="A440" s="12" t="s">
        <v>409</v>
      </c>
      <c r="B440" t="s">
        <v>770</v>
      </c>
      <c r="C440" t="s">
        <v>156</v>
      </c>
      <c r="D440" t="s">
        <v>128</v>
      </c>
      <c r="E440" t="s">
        <v>151</v>
      </c>
      <c r="F440" s="4"/>
      <c r="G440" s="7">
        <v>14932164</v>
      </c>
      <c r="H440" s="7">
        <v>14889995</v>
      </c>
      <c r="I440" s="8"/>
      <c r="J440" s="7">
        <v>2774819</v>
      </c>
      <c r="K440" s="7">
        <v>11251576</v>
      </c>
      <c r="L440" s="7">
        <v>863600</v>
      </c>
      <c r="M440" s="7">
        <v>12115176</v>
      </c>
      <c r="N440" s="8"/>
      <c r="O440" s="7">
        <f t="shared" si="6"/>
        <v>2627719</v>
      </c>
      <c r="P440" s="7">
        <v>11286590</v>
      </c>
      <c r="Q440" s="7">
        <v>975686</v>
      </c>
      <c r="R440" s="7">
        <v>12262276</v>
      </c>
      <c r="S440" s="9">
        <v>9.8791168163589044E-3</v>
      </c>
      <c r="T440" s="10"/>
    </row>
    <row r="441" spans="1:20" customFormat="1">
      <c r="A441" s="12" t="s">
        <v>399</v>
      </c>
      <c r="B441" t="s">
        <v>774</v>
      </c>
      <c r="C441" t="s">
        <v>156</v>
      </c>
      <c r="D441" t="s">
        <v>128</v>
      </c>
      <c r="E441" t="s">
        <v>152</v>
      </c>
      <c r="F441" s="4"/>
      <c r="G441" s="7">
        <v>42952878</v>
      </c>
      <c r="H441" s="7">
        <v>42228506</v>
      </c>
      <c r="I441" s="8"/>
      <c r="J441" s="7">
        <v>8571189</v>
      </c>
      <c r="K441" s="7">
        <v>31108656</v>
      </c>
      <c r="L441" s="7">
        <v>2548661</v>
      </c>
      <c r="M441" s="7">
        <v>33657317</v>
      </c>
      <c r="N441" s="8"/>
      <c r="O441" s="7">
        <f t="shared" si="6"/>
        <v>8093234</v>
      </c>
      <c r="P441" s="7">
        <v>31269295</v>
      </c>
      <c r="Q441" s="7">
        <v>2865977</v>
      </c>
      <c r="R441" s="7">
        <v>34135272</v>
      </c>
      <c r="S441" s="9">
        <v>1.1318302380860928E-2</v>
      </c>
      <c r="T441" s="10"/>
    </row>
    <row r="442" spans="1:20" customFormat="1">
      <c r="A442" s="12" t="s">
        <v>395</v>
      </c>
      <c r="B442" t="s">
        <v>775</v>
      </c>
      <c r="C442" t="s">
        <v>156</v>
      </c>
      <c r="D442" t="s">
        <v>128</v>
      </c>
      <c r="E442" t="s">
        <v>152</v>
      </c>
      <c r="F442" s="4"/>
      <c r="G442" s="7">
        <v>22379562</v>
      </c>
      <c r="H442" s="7">
        <v>22327739</v>
      </c>
      <c r="I442" s="8"/>
      <c r="J442" s="7">
        <v>5112120</v>
      </c>
      <c r="K442" s="7">
        <v>16031305</v>
      </c>
      <c r="L442" s="7">
        <v>1184314</v>
      </c>
      <c r="M442" s="7">
        <v>17215619</v>
      </c>
      <c r="N442" s="8"/>
      <c r="O442" s="7">
        <f t="shared" si="6"/>
        <v>4844928</v>
      </c>
      <c r="P442" s="7">
        <v>16127722</v>
      </c>
      <c r="Q442" s="7">
        <v>1355089</v>
      </c>
      <c r="R442" s="7">
        <v>17482811</v>
      </c>
      <c r="S442" s="9">
        <v>1.1966818494250582E-2</v>
      </c>
      <c r="T442" s="10"/>
    </row>
    <row r="443" spans="1:20" customFormat="1">
      <c r="A443" s="12" t="s">
        <v>115</v>
      </c>
      <c r="B443" t="s">
        <v>776</v>
      </c>
      <c r="C443" t="s">
        <v>155</v>
      </c>
      <c r="D443" t="s">
        <v>128</v>
      </c>
      <c r="E443" t="s">
        <v>151</v>
      </c>
      <c r="F443" s="4"/>
      <c r="G443" s="7">
        <v>13016262</v>
      </c>
      <c r="H443" s="7">
        <v>12579499</v>
      </c>
      <c r="I443" s="8"/>
      <c r="J443" s="7">
        <v>2719935</v>
      </c>
      <c r="K443" s="7">
        <v>9189530</v>
      </c>
      <c r="L443" s="7">
        <v>670034</v>
      </c>
      <c r="M443" s="7">
        <v>9859564</v>
      </c>
      <c r="N443" s="8"/>
      <c r="O443" s="7">
        <f t="shared" si="6"/>
        <v>2579588</v>
      </c>
      <c r="P443" s="7">
        <v>9228156</v>
      </c>
      <c r="Q443" s="7">
        <v>771755</v>
      </c>
      <c r="R443" s="7">
        <v>9999911</v>
      </c>
      <c r="S443" s="9">
        <v>1.1156803621511478E-2</v>
      </c>
      <c r="T443" s="10"/>
    </row>
    <row r="444" spans="1:20" customFormat="1">
      <c r="A444" s="12" t="s">
        <v>119</v>
      </c>
      <c r="B444" t="s">
        <v>777</v>
      </c>
      <c r="C444" t="s">
        <v>155</v>
      </c>
      <c r="D444" t="s">
        <v>128</v>
      </c>
      <c r="E444" t="s">
        <v>152</v>
      </c>
      <c r="F444" s="4"/>
      <c r="G444" s="7">
        <v>28855264</v>
      </c>
      <c r="H444" s="7">
        <v>27994070</v>
      </c>
      <c r="I444" s="8"/>
      <c r="J444" s="7">
        <v>6479735</v>
      </c>
      <c r="K444" s="7">
        <v>19978957</v>
      </c>
      <c r="L444" s="7">
        <v>1535378</v>
      </c>
      <c r="M444" s="7">
        <v>21514335</v>
      </c>
      <c r="N444" s="8"/>
      <c r="O444" s="7">
        <f t="shared" si="6"/>
        <v>6162334</v>
      </c>
      <c r="P444" s="7">
        <v>20082046</v>
      </c>
      <c r="Q444" s="7">
        <v>1749690</v>
      </c>
      <c r="R444" s="7">
        <v>21831736</v>
      </c>
      <c r="S444" s="9">
        <v>1.1338151258462954E-2</v>
      </c>
      <c r="T444" s="10"/>
    </row>
    <row r="445" spans="1:20" customFormat="1">
      <c r="A445" s="12" t="s">
        <v>346</v>
      </c>
      <c r="B445" t="s">
        <v>778</v>
      </c>
      <c r="C445" t="s">
        <v>123</v>
      </c>
      <c r="D445" t="s">
        <v>128</v>
      </c>
      <c r="E445" t="s">
        <v>152</v>
      </c>
      <c r="F445" s="4"/>
      <c r="G445" s="7">
        <v>21630780</v>
      </c>
      <c r="H445" s="7">
        <v>21553264</v>
      </c>
      <c r="I445" s="8"/>
      <c r="J445" s="7">
        <v>4390001</v>
      </c>
      <c r="K445" s="7">
        <v>15946100</v>
      </c>
      <c r="L445" s="7">
        <v>1217163</v>
      </c>
      <c r="M445" s="7">
        <v>17163263</v>
      </c>
      <c r="N445" s="8"/>
      <c r="O445" s="7">
        <f t="shared" si="6"/>
        <v>4132416</v>
      </c>
      <c r="P445" s="7">
        <v>16026188</v>
      </c>
      <c r="Q445" s="7">
        <v>1394660</v>
      </c>
      <c r="R445" s="7">
        <v>17420848</v>
      </c>
      <c r="S445" s="9">
        <v>1.1951090099392835E-2</v>
      </c>
      <c r="T445" s="10"/>
    </row>
    <row r="446" spans="1:20" customFormat="1">
      <c r="A446" s="12" t="s">
        <v>118</v>
      </c>
      <c r="B446" t="s">
        <v>933</v>
      </c>
      <c r="C446" t="s">
        <v>155</v>
      </c>
      <c r="D446" t="s">
        <v>128</v>
      </c>
      <c r="E446" t="s">
        <v>151</v>
      </c>
      <c r="F446" s="4"/>
      <c r="G446" s="7">
        <v>10947350</v>
      </c>
      <c r="H446" s="7">
        <v>10885172</v>
      </c>
      <c r="I446" s="8"/>
      <c r="J446" s="7">
        <v>2768811</v>
      </c>
      <c r="K446" s="7">
        <v>7538901</v>
      </c>
      <c r="L446" s="7">
        <v>577460</v>
      </c>
      <c r="M446" s="7">
        <v>8116361</v>
      </c>
      <c r="N446" s="8"/>
      <c r="O446" s="7">
        <f t="shared" si="6"/>
        <v>2642417</v>
      </c>
      <c r="P446" s="7">
        <v>7581433</v>
      </c>
      <c r="Q446" s="7">
        <v>661322</v>
      </c>
      <c r="R446" s="7">
        <v>8242755</v>
      </c>
      <c r="S446" s="9">
        <v>1.1611575820758734E-2</v>
      </c>
      <c r="T446" s="10"/>
    </row>
    <row r="447" spans="1:20" customFormat="1">
      <c r="A447" s="12" t="s">
        <v>252</v>
      </c>
      <c r="B447" t="s">
        <v>934</v>
      </c>
      <c r="C447" t="s">
        <v>158</v>
      </c>
      <c r="D447" t="s">
        <v>126</v>
      </c>
      <c r="E447" t="s">
        <v>152</v>
      </c>
      <c r="F447" s="4"/>
      <c r="G447" s="7">
        <v>19539622</v>
      </c>
      <c r="H447" s="7">
        <v>19472769</v>
      </c>
      <c r="I447" s="8"/>
      <c r="J447" s="7">
        <v>4721646</v>
      </c>
      <c r="K447" s="7">
        <v>13774386</v>
      </c>
      <c r="L447" s="7">
        <v>976737</v>
      </c>
      <c r="M447" s="7">
        <v>14751123</v>
      </c>
      <c r="N447" s="8"/>
      <c r="O447" s="7">
        <f t="shared" si="6"/>
        <v>4496994</v>
      </c>
      <c r="P447" s="7">
        <v>13843299</v>
      </c>
      <c r="Q447" s="7">
        <v>1132476</v>
      </c>
      <c r="R447" s="7">
        <v>14975775</v>
      </c>
      <c r="S447" s="9">
        <v>1.1536725978724443E-2</v>
      </c>
      <c r="T447" s="10"/>
    </row>
    <row r="448" spans="1:20" customFormat="1">
      <c r="A448" s="12" t="s">
        <v>230</v>
      </c>
      <c r="B448" t="s">
        <v>935</v>
      </c>
      <c r="C448" t="s">
        <v>158</v>
      </c>
      <c r="D448" t="s">
        <v>126</v>
      </c>
      <c r="E448" t="s">
        <v>151</v>
      </c>
      <c r="F448" s="4"/>
      <c r="G448" s="7">
        <v>16472442</v>
      </c>
      <c r="H448" s="7">
        <v>16135964</v>
      </c>
      <c r="I448" s="8"/>
      <c r="J448" s="7">
        <v>4119778</v>
      </c>
      <c r="K448" s="7">
        <v>11170063</v>
      </c>
      <c r="L448" s="7">
        <v>846123</v>
      </c>
      <c r="M448" s="7">
        <v>12016186</v>
      </c>
      <c r="N448" s="8"/>
      <c r="O448" s="7">
        <f t="shared" si="6"/>
        <v>3936990</v>
      </c>
      <c r="P448" s="7">
        <v>11226588</v>
      </c>
      <c r="Q448" s="7">
        <v>972386</v>
      </c>
      <c r="R448" s="7">
        <v>12198974</v>
      </c>
      <c r="S448" s="9">
        <v>1.1327987593427947E-2</v>
      </c>
      <c r="T448" s="10"/>
    </row>
    <row r="449" spans="1:20" customFormat="1">
      <c r="A449" s="12" t="s">
        <v>254</v>
      </c>
      <c r="B449" t="s">
        <v>936</v>
      </c>
      <c r="C449" t="s">
        <v>158</v>
      </c>
      <c r="D449" t="s">
        <v>126</v>
      </c>
      <c r="E449" t="s">
        <v>152</v>
      </c>
      <c r="F449" s="4"/>
      <c r="G449" s="7">
        <v>26909016</v>
      </c>
      <c r="H449" s="7">
        <v>26441819</v>
      </c>
      <c r="I449" s="8"/>
      <c r="J449" s="7">
        <v>6258456</v>
      </c>
      <c r="K449" s="7">
        <v>18763683</v>
      </c>
      <c r="L449" s="7">
        <v>1419680</v>
      </c>
      <c r="M449" s="7">
        <v>20183363</v>
      </c>
      <c r="N449" s="8"/>
      <c r="O449" s="7">
        <f t="shared" si="6"/>
        <v>5953901</v>
      </c>
      <c r="P449" s="7">
        <v>18856856</v>
      </c>
      <c r="Q449" s="7">
        <v>1631062</v>
      </c>
      <c r="R449" s="7">
        <v>20487918</v>
      </c>
      <c r="S449" s="9">
        <v>1.1517929231721917E-2</v>
      </c>
      <c r="T449" s="10"/>
    </row>
    <row r="450" spans="1:20" customFormat="1">
      <c r="A450" s="12" t="s">
        <v>248</v>
      </c>
      <c r="B450" t="s">
        <v>937</v>
      </c>
      <c r="C450" t="s">
        <v>158</v>
      </c>
      <c r="D450" t="s">
        <v>126</v>
      </c>
      <c r="E450" t="s">
        <v>152</v>
      </c>
      <c r="F450" s="4"/>
      <c r="G450" s="7">
        <v>18958462</v>
      </c>
      <c r="H450" s="7">
        <v>18874217</v>
      </c>
      <c r="I450" s="8"/>
      <c r="J450" s="7">
        <v>4772470</v>
      </c>
      <c r="K450" s="7">
        <v>13101996</v>
      </c>
      <c r="L450" s="7">
        <v>999751</v>
      </c>
      <c r="M450" s="7">
        <v>14101747</v>
      </c>
      <c r="N450" s="8"/>
      <c r="O450" s="7">
        <f t="shared" si="6"/>
        <v>4540891</v>
      </c>
      <c r="P450" s="7">
        <v>13184949</v>
      </c>
      <c r="Q450" s="7">
        <v>1148377</v>
      </c>
      <c r="R450" s="7">
        <v>14333326</v>
      </c>
      <c r="S450" s="9">
        <v>1.2269595077771967E-2</v>
      </c>
      <c r="T450" s="10"/>
    </row>
    <row r="451" spans="1:20" customFormat="1">
      <c r="A451" s="12" t="s">
        <v>15</v>
      </c>
      <c r="B451" t="s">
        <v>782</v>
      </c>
      <c r="C451" t="s">
        <v>157</v>
      </c>
      <c r="D451" t="s">
        <v>128</v>
      </c>
      <c r="E451" t="s">
        <v>151</v>
      </c>
      <c r="F451" s="4"/>
      <c r="G451" s="7">
        <v>15092660</v>
      </c>
      <c r="H451" s="7">
        <v>14858243</v>
      </c>
      <c r="I451" s="8"/>
      <c r="J451" s="7">
        <v>3924974</v>
      </c>
      <c r="K451" s="7">
        <v>10135269</v>
      </c>
      <c r="L451" s="7">
        <v>798000</v>
      </c>
      <c r="M451" s="7">
        <v>10933269</v>
      </c>
      <c r="N451" s="8"/>
      <c r="O451" s="7">
        <f t="shared" si="6"/>
        <v>3752224</v>
      </c>
      <c r="P451" s="7">
        <v>10188656</v>
      </c>
      <c r="Q451" s="7">
        <v>917363</v>
      </c>
      <c r="R451" s="7">
        <v>11106019</v>
      </c>
      <c r="S451" s="9">
        <v>1.1626542923009135E-2</v>
      </c>
      <c r="T451" s="10"/>
    </row>
    <row r="452" spans="1:20" customFormat="1">
      <c r="A452" s="12" t="s">
        <v>411</v>
      </c>
      <c r="B452" t="s">
        <v>785</v>
      </c>
      <c r="C452" t="s">
        <v>156</v>
      </c>
      <c r="D452" t="s">
        <v>128</v>
      </c>
      <c r="E452" t="s">
        <v>152</v>
      </c>
      <c r="F452" s="4"/>
      <c r="G452" s="7">
        <v>22621014</v>
      </c>
      <c r="H452" s="7">
        <v>22503414</v>
      </c>
      <c r="I452" s="8"/>
      <c r="J452" s="7">
        <v>5593661</v>
      </c>
      <c r="K452" s="7">
        <v>15664838</v>
      </c>
      <c r="L452" s="7">
        <v>1244915</v>
      </c>
      <c r="M452" s="7">
        <v>16909753</v>
      </c>
      <c r="N452" s="8"/>
      <c r="O452" s="7">
        <f t="shared" ref="O452:O506" si="7">H452-R452</f>
        <v>5332426</v>
      </c>
      <c r="P452" s="7">
        <v>15759206</v>
      </c>
      <c r="Q452" s="7">
        <v>1411782</v>
      </c>
      <c r="R452" s="7">
        <v>17170988</v>
      </c>
      <c r="S452" s="9">
        <v>1.1608683020274168E-2</v>
      </c>
      <c r="T452" s="10"/>
    </row>
    <row r="453" spans="1:20" customFormat="1">
      <c r="A453" s="12" t="s">
        <v>287</v>
      </c>
      <c r="B453" t="s">
        <v>786</v>
      </c>
      <c r="C453" t="s">
        <v>122</v>
      </c>
      <c r="D453" t="s">
        <v>126</v>
      </c>
      <c r="E453" t="s">
        <v>152</v>
      </c>
      <c r="F453" s="4"/>
      <c r="G453" s="7">
        <v>37042254</v>
      </c>
      <c r="H453" s="7">
        <v>36859896</v>
      </c>
      <c r="I453" s="8"/>
      <c r="J453" s="7">
        <v>10760975</v>
      </c>
      <c r="K453" s="7">
        <v>24278650</v>
      </c>
      <c r="L453" s="7">
        <v>1820271</v>
      </c>
      <c r="M453" s="7">
        <v>26098921</v>
      </c>
      <c r="N453" s="8"/>
      <c r="O453" s="7">
        <f t="shared" si="7"/>
        <v>10347827</v>
      </c>
      <c r="P453" s="7">
        <v>24424053</v>
      </c>
      <c r="Q453" s="7">
        <v>2088016</v>
      </c>
      <c r="R453" s="7">
        <v>26512069</v>
      </c>
      <c r="S453" s="9">
        <v>1.1208604603767738E-2</v>
      </c>
      <c r="T453" s="10"/>
    </row>
    <row r="454" spans="1:20" customFormat="1">
      <c r="A454" s="12" t="s">
        <v>106</v>
      </c>
      <c r="B454" t="s">
        <v>787</v>
      </c>
      <c r="C454" t="s">
        <v>155</v>
      </c>
      <c r="D454" t="s">
        <v>128</v>
      </c>
      <c r="E454" t="s">
        <v>151</v>
      </c>
      <c r="F454" s="4"/>
      <c r="G454" s="7">
        <v>11159102</v>
      </c>
      <c r="H454" s="7">
        <v>11096478</v>
      </c>
      <c r="I454" s="8"/>
      <c r="J454" s="7">
        <v>2838420</v>
      </c>
      <c r="K454" s="7">
        <v>7714125</v>
      </c>
      <c r="L454" s="7">
        <v>543933</v>
      </c>
      <c r="M454" s="7">
        <v>8258058</v>
      </c>
      <c r="N454" s="8"/>
      <c r="O454" s="7">
        <f t="shared" si="7"/>
        <v>2711460</v>
      </c>
      <c r="P454" s="7">
        <v>7751708</v>
      </c>
      <c r="Q454" s="7">
        <v>633310</v>
      </c>
      <c r="R454" s="7">
        <v>8385018</v>
      </c>
      <c r="S454" s="9">
        <v>1.1441468184769979E-2</v>
      </c>
      <c r="T454" s="10"/>
    </row>
    <row r="455" spans="1:20" customFormat="1">
      <c r="A455" s="12" t="s">
        <v>418</v>
      </c>
      <c r="B455" t="s">
        <v>788</v>
      </c>
      <c r="C455" t="s">
        <v>156</v>
      </c>
      <c r="D455" t="s">
        <v>128</v>
      </c>
      <c r="E455" t="s">
        <v>152</v>
      </c>
      <c r="F455" s="4"/>
      <c r="G455" s="7">
        <v>17278066</v>
      </c>
      <c r="H455" s="7">
        <v>17221381</v>
      </c>
      <c r="I455" s="8"/>
      <c r="J455" s="7">
        <v>4121714</v>
      </c>
      <c r="K455" s="7">
        <v>12124015</v>
      </c>
      <c r="L455" s="7">
        <v>975652</v>
      </c>
      <c r="M455" s="7">
        <v>13099667</v>
      </c>
      <c r="N455" s="8"/>
      <c r="O455" s="7">
        <f t="shared" si="7"/>
        <v>3919920</v>
      </c>
      <c r="P455" s="7">
        <v>12195467</v>
      </c>
      <c r="Q455" s="7">
        <v>1105994</v>
      </c>
      <c r="R455" s="7">
        <v>13301461</v>
      </c>
      <c r="S455" s="9">
        <v>1.1717643317919742E-2</v>
      </c>
      <c r="T455" s="10"/>
    </row>
    <row r="456" spans="1:20" customFormat="1">
      <c r="A456" s="12" t="s">
        <v>410</v>
      </c>
      <c r="B456" t="s">
        <v>789</v>
      </c>
      <c r="C456" t="s">
        <v>156</v>
      </c>
      <c r="D456" t="s">
        <v>128</v>
      </c>
      <c r="E456" t="s">
        <v>151</v>
      </c>
      <c r="F456" s="4"/>
      <c r="G456" s="7">
        <v>16011528</v>
      </c>
      <c r="H456" s="7">
        <v>15763230</v>
      </c>
      <c r="I456" s="8"/>
      <c r="J456" s="7">
        <v>3746082</v>
      </c>
      <c r="K456" s="7">
        <v>11164865</v>
      </c>
      <c r="L456" s="7">
        <v>852283</v>
      </c>
      <c r="M456" s="7">
        <v>12017148</v>
      </c>
      <c r="N456" s="8"/>
      <c r="O456" s="7">
        <f t="shared" si="7"/>
        <v>3543881</v>
      </c>
      <c r="P456" s="7">
        <v>11241679</v>
      </c>
      <c r="Q456" s="7">
        <v>977670</v>
      </c>
      <c r="R456" s="7">
        <v>12219349</v>
      </c>
      <c r="S456" s="9">
        <v>1.2827383727827355E-2</v>
      </c>
      <c r="T456" s="10"/>
    </row>
    <row r="457" spans="1:20" customFormat="1">
      <c r="A457" s="12" t="s">
        <v>450</v>
      </c>
      <c r="B457" t="s">
        <v>790</v>
      </c>
      <c r="C457" t="s">
        <v>156</v>
      </c>
      <c r="D457" t="s">
        <v>128</v>
      </c>
      <c r="E457" t="s">
        <v>152</v>
      </c>
      <c r="F457" s="4"/>
      <c r="G457" s="7">
        <v>35043884</v>
      </c>
      <c r="H457" s="7">
        <v>34838860</v>
      </c>
      <c r="I457" s="8"/>
      <c r="J457" s="7">
        <v>8152452</v>
      </c>
      <c r="K457" s="7">
        <v>24805673</v>
      </c>
      <c r="L457" s="7">
        <v>1880735</v>
      </c>
      <c r="M457" s="7">
        <v>26686408</v>
      </c>
      <c r="N457" s="8"/>
      <c r="O457" s="7">
        <f t="shared" si="7"/>
        <v>7771744</v>
      </c>
      <c r="P457" s="7">
        <v>24925378</v>
      </c>
      <c r="Q457" s="7">
        <v>2141738</v>
      </c>
      <c r="R457" s="7">
        <v>27067116</v>
      </c>
      <c r="S457" s="9">
        <v>1.0927682478703378E-2</v>
      </c>
      <c r="T457" s="10"/>
    </row>
    <row r="458" spans="1:20" customFormat="1">
      <c r="A458" s="12" t="s">
        <v>100</v>
      </c>
      <c r="B458" t="s">
        <v>791</v>
      </c>
      <c r="C458" t="s">
        <v>155</v>
      </c>
      <c r="D458" t="s">
        <v>128</v>
      </c>
      <c r="E458" t="s">
        <v>152</v>
      </c>
      <c r="F458" s="4"/>
      <c r="G458" s="7">
        <v>21831498</v>
      </c>
      <c r="H458" s="7">
        <v>21293168</v>
      </c>
      <c r="I458" s="8"/>
      <c r="J458" s="7">
        <v>5735039</v>
      </c>
      <c r="K458" s="7">
        <v>14486024</v>
      </c>
      <c r="L458" s="7">
        <v>1072105</v>
      </c>
      <c r="M458" s="7">
        <v>15558129</v>
      </c>
      <c r="N458" s="8"/>
      <c r="O458" s="7">
        <f t="shared" si="7"/>
        <v>5491088</v>
      </c>
      <c r="P458" s="7">
        <v>14560284</v>
      </c>
      <c r="Q458" s="7">
        <v>1241796</v>
      </c>
      <c r="R458" s="7">
        <v>15802080</v>
      </c>
      <c r="S458" s="9">
        <v>1.1456773365053054E-2</v>
      </c>
      <c r="T458" s="10"/>
    </row>
    <row r="459" spans="1:20" customFormat="1">
      <c r="A459" s="12" t="s">
        <v>497</v>
      </c>
      <c r="B459" t="s">
        <v>796</v>
      </c>
      <c r="C459" t="s">
        <v>156</v>
      </c>
      <c r="D459" t="s">
        <v>128</v>
      </c>
      <c r="E459" t="s">
        <v>152</v>
      </c>
      <c r="F459" s="4"/>
      <c r="G459" s="7">
        <v>40723356</v>
      </c>
      <c r="H459" s="7">
        <v>40550373</v>
      </c>
      <c r="I459" s="8"/>
      <c r="J459" s="7">
        <v>9930412</v>
      </c>
      <c r="K459" s="7">
        <v>28457175</v>
      </c>
      <c r="L459" s="7">
        <v>2162786</v>
      </c>
      <c r="M459" s="7">
        <v>30619961</v>
      </c>
      <c r="N459" s="8"/>
      <c r="O459" s="7">
        <f t="shared" si="7"/>
        <v>9470198</v>
      </c>
      <c r="P459" s="7">
        <v>28605882</v>
      </c>
      <c r="Q459" s="7">
        <v>2474293</v>
      </c>
      <c r="R459" s="7">
        <v>31080175</v>
      </c>
      <c r="S459" s="9">
        <v>1.1349192768214488E-2</v>
      </c>
      <c r="T459" s="10"/>
    </row>
    <row r="460" spans="1:20" customFormat="1">
      <c r="A460" s="12" t="s">
        <v>292</v>
      </c>
      <c r="B460" t="s">
        <v>797</v>
      </c>
      <c r="C460" t="s">
        <v>122</v>
      </c>
      <c r="D460" t="s">
        <v>128</v>
      </c>
      <c r="E460" t="s">
        <v>152</v>
      </c>
      <c r="F460" s="4"/>
      <c r="G460" s="7">
        <v>32266768</v>
      </c>
      <c r="H460" s="7">
        <v>31608056</v>
      </c>
      <c r="I460" s="8"/>
      <c r="J460" s="7">
        <v>9458432</v>
      </c>
      <c r="K460" s="7">
        <v>20696862</v>
      </c>
      <c r="L460" s="7">
        <v>1452762</v>
      </c>
      <c r="M460" s="7">
        <v>22149624</v>
      </c>
      <c r="N460" s="8"/>
      <c r="O460" s="7">
        <f t="shared" si="7"/>
        <v>9091489</v>
      </c>
      <c r="P460" s="7">
        <v>20821640</v>
      </c>
      <c r="Q460" s="7">
        <v>1694927</v>
      </c>
      <c r="R460" s="7">
        <v>22516567</v>
      </c>
      <c r="S460" s="9">
        <v>1.1609160651955311E-2</v>
      </c>
      <c r="T460" s="10"/>
    </row>
    <row r="461" spans="1:20" customFormat="1">
      <c r="A461" s="12" t="s">
        <v>300</v>
      </c>
      <c r="B461" t="s">
        <v>798</v>
      </c>
      <c r="C461" t="s">
        <v>122</v>
      </c>
      <c r="D461" t="s">
        <v>128</v>
      </c>
      <c r="E461" t="s">
        <v>151</v>
      </c>
      <c r="F461" s="4"/>
      <c r="G461" s="7">
        <v>14670530</v>
      </c>
      <c r="H461" s="7">
        <v>14620503</v>
      </c>
      <c r="I461" s="8"/>
      <c r="J461" s="7">
        <v>3837520</v>
      </c>
      <c r="K461" s="7">
        <v>10031691</v>
      </c>
      <c r="L461" s="7">
        <v>751292</v>
      </c>
      <c r="M461" s="7">
        <v>10782983</v>
      </c>
      <c r="N461" s="8"/>
      <c r="O461" s="7">
        <f t="shared" si="7"/>
        <v>3668608</v>
      </c>
      <c r="P461" s="7">
        <v>10085772</v>
      </c>
      <c r="Q461" s="7">
        <v>866123</v>
      </c>
      <c r="R461" s="7">
        <v>10951895</v>
      </c>
      <c r="S461" s="9">
        <v>1.155309088887024E-2</v>
      </c>
      <c r="T461" s="10"/>
    </row>
    <row r="462" spans="1:20" customFormat="1">
      <c r="A462" s="12" t="s">
        <v>338</v>
      </c>
      <c r="B462" t="s">
        <v>799</v>
      </c>
      <c r="C462" t="s">
        <v>123</v>
      </c>
      <c r="D462" t="s">
        <v>128</v>
      </c>
      <c r="E462" t="s">
        <v>151</v>
      </c>
      <c r="F462" s="4"/>
      <c r="G462" s="7">
        <v>16198268</v>
      </c>
      <c r="H462" s="7">
        <v>15942628</v>
      </c>
      <c r="I462" s="8"/>
      <c r="J462" s="7">
        <v>3697325</v>
      </c>
      <c r="K462" s="7">
        <v>11345752</v>
      </c>
      <c r="L462" s="7">
        <v>899551</v>
      </c>
      <c r="M462" s="7">
        <v>12245303</v>
      </c>
      <c r="N462" s="8"/>
      <c r="O462" s="7">
        <f t="shared" si="7"/>
        <v>3499678</v>
      </c>
      <c r="P462" s="7">
        <v>11409811</v>
      </c>
      <c r="Q462" s="7">
        <v>1033139</v>
      </c>
      <c r="R462" s="7">
        <v>12442950</v>
      </c>
      <c r="S462" s="9">
        <v>1.2397391446378853E-2</v>
      </c>
      <c r="T462" s="10"/>
    </row>
    <row r="463" spans="1:20" customFormat="1">
      <c r="A463" s="12" t="s">
        <v>260</v>
      </c>
      <c r="B463" t="s">
        <v>803</v>
      </c>
      <c r="C463" t="s">
        <v>158</v>
      </c>
      <c r="D463" t="s">
        <v>126</v>
      </c>
      <c r="E463" t="s">
        <v>152</v>
      </c>
      <c r="F463" s="4"/>
      <c r="G463" s="7">
        <v>23144294</v>
      </c>
      <c r="H463" s="7">
        <v>23042463</v>
      </c>
      <c r="I463" s="8"/>
      <c r="J463" s="7">
        <v>5305703</v>
      </c>
      <c r="K463" s="7">
        <v>16512619</v>
      </c>
      <c r="L463" s="7">
        <v>1224141</v>
      </c>
      <c r="M463" s="7">
        <v>17736760</v>
      </c>
      <c r="N463" s="8"/>
      <c r="O463" s="7">
        <f t="shared" si="7"/>
        <v>5048627</v>
      </c>
      <c r="P463" s="7">
        <v>16589693</v>
      </c>
      <c r="Q463" s="7">
        <v>1404143</v>
      </c>
      <c r="R463" s="7">
        <v>17993836</v>
      </c>
      <c r="S463" s="9">
        <v>1.1156619845717013E-2</v>
      </c>
      <c r="T463" s="10"/>
    </row>
    <row r="464" spans="1:20" customFormat="1">
      <c r="A464" s="12" t="s">
        <v>402</v>
      </c>
      <c r="B464" t="s">
        <v>807</v>
      </c>
      <c r="C464" t="s">
        <v>156</v>
      </c>
      <c r="D464" t="s">
        <v>128</v>
      </c>
      <c r="E464" t="s">
        <v>152</v>
      </c>
      <c r="F464" s="4"/>
      <c r="G464" s="7">
        <v>20351928</v>
      </c>
      <c r="H464" s="7">
        <v>20284058</v>
      </c>
      <c r="I464" s="8"/>
      <c r="J464" s="7">
        <v>4420292</v>
      </c>
      <c r="K464" s="7">
        <v>14779760</v>
      </c>
      <c r="L464" s="7">
        <v>1084006</v>
      </c>
      <c r="M464" s="7">
        <v>15863766</v>
      </c>
      <c r="N464" s="8"/>
      <c r="O464" s="7">
        <f t="shared" si="7"/>
        <v>4178453</v>
      </c>
      <c r="P464" s="7">
        <v>14861640</v>
      </c>
      <c r="Q464" s="7">
        <v>1243965</v>
      </c>
      <c r="R464" s="7">
        <v>16105605</v>
      </c>
      <c r="S464" s="9">
        <v>1.1922614301339505E-2</v>
      </c>
      <c r="T464" s="10"/>
    </row>
    <row r="465" spans="1:20" customFormat="1">
      <c r="A465" s="12" t="s">
        <v>341</v>
      </c>
      <c r="B465" t="s">
        <v>809</v>
      </c>
      <c r="C465" t="s">
        <v>123</v>
      </c>
      <c r="D465" t="s">
        <v>128</v>
      </c>
      <c r="E465" t="s">
        <v>151</v>
      </c>
      <c r="F465" s="4"/>
      <c r="G465" s="7">
        <v>16511022</v>
      </c>
      <c r="H465" s="7">
        <v>16062642</v>
      </c>
      <c r="I465" s="8"/>
      <c r="J465" s="7">
        <v>3907674</v>
      </c>
      <c r="K465" s="7">
        <v>11318153</v>
      </c>
      <c r="L465" s="7">
        <v>836815</v>
      </c>
      <c r="M465" s="7">
        <v>12154968</v>
      </c>
      <c r="N465" s="8"/>
      <c r="O465" s="7">
        <f t="shared" si="7"/>
        <v>3718709</v>
      </c>
      <c r="P465" s="7">
        <v>11375475</v>
      </c>
      <c r="Q465" s="7">
        <v>968458</v>
      </c>
      <c r="R465" s="7">
        <v>12343933</v>
      </c>
      <c r="S465" s="9">
        <v>1.1764253975155519E-2</v>
      </c>
      <c r="T465" s="10"/>
    </row>
    <row r="466" spans="1:20" customFormat="1">
      <c r="A466" s="12" t="s">
        <v>240</v>
      </c>
      <c r="B466" t="s">
        <v>812</v>
      </c>
      <c r="C466" t="s">
        <v>158</v>
      </c>
      <c r="D466" t="s">
        <v>126</v>
      </c>
      <c r="E466" t="s">
        <v>152</v>
      </c>
      <c r="F466" s="4"/>
      <c r="G466" s="7">
        <v>22079778</v>
      </c>
      <c r="H466" s="7">
        <v>22010982</v>
      </c>
      <c r="I466" s="8"/>
      <c r="J466" s="7">
        <v>5125715</v>
      </c>
      <c r="K466" s="7">
        <v>15709989</v>
      </c>
      <c r="L466" s="7">
        <v>1175278</v>
      </c>
      <c r="M466" s="7">
        <v>16885267</v>
      </c>
      <c r="N466" s="8"/>
      <c r="O466" s="7">
        <f t="shared" si="7"/>
        <v>4884015</v>
      </c>
      <c r="P466" s="7">
        <v>15780551</v>
      </c>
      <c r="Q466" s="7">
        <v>1346416</v>
      </c>
      <c r="R466" s="7">
        <v>17126967</v>
      </c>
      <c r="S466" s="9">
        <v>1.0980882179631968E-2</v>
      </c>
      <c r="T466" s="10"/>
    </row>
    <row r="467" spans="1:20" customFormat="1">
      <c r="A467" s="12" t="s">
        <v>356</v>
      </c>
      <c r="B467" t="s">
        <v>822</v>
      </c>
      <c r="C467" t="s">
        <v>123</v>
      </c>
      <c r="D467" t="s">
        <v>128</v>
      </c>
      <c r="E467" t="s">
        <v>152</v>
      </c>
      <c r="F467" s="4"/>
      <c r="G467" s="7">
        <v>18840524</v>
      </c>
      <c r="H467" s="7">
        <v>18501306</v>
      </c>
      <c r="I467" s="8"/>
      <c r="J467" s="7">
        <v>4775540</v>
      </c>
      <c r="K467" s="7">
        <v>12730892</v>
      </c>
      <c r="L467" s="7">
        <v>994874</v>
      </c>
      <c r="M467" s="7">
        <v>13725766</v>
      </c>
      <c r="N467" s="8"/>
      <c r="O467" s="7">
        <f t="shared" si="7"/>
        <v>4546868</v>
      </c>
      <c r="P467" s="7">
        <v>12812054</v>
      </c>
      <c r="Q467" s="7">
        <v>1142384</v>
      </c>
      <c r="R467" s="7">
        <v>13954438</v>
      </c>
      <c r="S467" s="9">
        <v>1.2359776115264511E-2</v>
      </c>
      <c r="T467" s="10"/>
    </row>
    <row r="468" spans="1:20" customFormat="1">
      <c r="A468" s="12" t="s">
        <v>353</v>
      </c>
      <c r="B468" t="s">
        <v>824</v>
      </c>
      <c r="C468" t="s">
        <v>123</v>
      </c>
      <c r="D468" t="s">
        <v>128</v>
      </c>
      <c r="E468" t="s">
        <v>152</v>
      </c>
      <c r="F468" s="4"/>
      <c r="G468" s="7">
        <v>18173904</v>
      </c>
      <c r="H468" s="7">
        <v>18143090</v>
      </c>
      <c r="I468" s="8"/>
      <c r="J468" s="7">
        <v>4529150</v>
      </c>
      <c r="K468" s="7">
        <v>12672464</v>
      </c>
      <c r="L468" s="7">
        <v>941476</v>
      </c>
      <c r="M468" s="7">
        <v>13613940</v>
      </c>
      <c r="N468" s="8"/>
      <c r="O468" s="7">
        <f t="shared" si="7"/>
        <v>4322944</v>
      </c>
      <c r="P468" s="7">
        <v>12735882</v>
      </c>
      <c r="Q468" s="7">
        <v>1084264</v>
      </c>
      <c r="R468" s="7">
        <v>13820146</v>
      </c>
      <c r="S468" s="9">
        <v>1.1365539166702033E-2</v>
      </c>
      <c r="T468" s="10"/>
    </row>
    <row r="469" spans="1:20" customFormat="1">
      <c r="A469" s="12" t="s">
        <v>117</v>
      </c>
      <c r="B469" t="s">
        <v>827</v>
      </c>
      <c r="C469" t="s">
        <v>155</v>
      </c>
      <c r="D469" t="s">
        <v>128</v>
      </c>
      <c r="E469" t="s">
        <v>151</v>
      </c>
      <c r="F469" s="4"/>
      <c r="G469" s="7">
        <v>16962962</v>
      </c>
      <c r="H469" s="7">
        <v>16876562</v>
      </c>
      <c r="I469" s="8"/>
      <c r="J469" s="7">
        <v>3566129</v>
      </c>
      <c r="K469" s="7">
        <v>12366449</v>
      </c>
      <c r="L469" s="7">
        <v>943984</v>
      </c>
      <c r="M469" s="7">
        <v>13310433</v>
      </c>
      <c r="N469" s="8"/>
      <c r="O469" s="7">
        <f t="shared" si="7"/>
        <v>3376804</v>
      </c>
      <c r="P469" s="7">
        <v>12424145</v>
      </c>
      <c r="Q469" s="7">
        <v>1075613</v>
      </c>
      <c r="R469" s="7">
        <v>13499758</v>
      </c>
      <c r="S469" s="9">
        <v>1.1218220867496591E-2</v>
      </c>
      <c r="T469" s="10"/>
    </row>
    <row r="470" spans="1:20" customFormat="1">
      <c r="A470" s="12" t="s">
        <v>391</v>
      </c>
      <c r="B470" t="s">
        <v>832</v>
      </c>
      <c r="C470" t="s">
        <v>156</v>
      </c>
      <c r="D470" t="s">
        <v>128</v>
      </c>
      <c r="E470" t="s">
        <v>152</v>
      </c>
      <c r="F470" s="4"/>
      <c r="G470" s="7">
        <v>31301248</v>
      </c>
      <c r="H470" s="7">
        <v>31215682</v>
      </c>
      <c r="I470" s="8"/>
      <c r="J470" s="7">
        <v>6990701</v>
      </c>
      <c r="K470" s="7">
        <v>22451185</v>
      </c>
      <c r="L470" s="7">
        <v>1773796</v>
      </c>
      <c r="M470" s="7">
        <v>24224981</v>
      </c>
      <c r="N470" s="8"/>
      <c r="O470" s="7">
        <f t="shared" si="7"/>
        <v>6606387</v>
      </c>
      <c r="P470" s="7">
        <v>22590172</v>
      </c>
      <c r="Q470" s="7">
        <v>2019123</v>
      </c>
      <c r="R470" s="7">
        <v>24609295</v>
      </c>
      <c r="S470" s="9">
        <v>1.2311568268795153E-2</v>
      </c>
      <c r="T470" s="10"/>
    </row>
    <row r="471" spans="1:20" customFormat="1">
      <c r="A471" s="12" t="s">
        <v>236</v>
      </c>
      <c r="B471" t="s">
        <v>833</v>
      </c>
      <c r="C471" t="s">
        <v>158</v>
      </c>
      <c r="D471" t="s">
        <v>126</v>
      </c>
      <c r="E471" t="s">
        <v>152</v>
      </c>
      <c r="F471" s="4"/>
      <c r="G471" s="7">
        <v>18194224</v>
      </c>
      <c r="H471" s="7">
        <v>17892199</v>
      </c>
      <c r="I471" s="8"/>
      <c r="J471" s="7">
        <v>4327258</v>
      </c>
      <c r="K471" s="7">
        <v>12574498</v>
      </c>
      <c r="L471" s="7">
        <v>990443</v>
      </c>
      <c r="M471" s="7">
        <v>13564941</v>
      </c>
      <c r="N471" s="8"/>
      <c r="O471" s="7">
        <f t="shared" si="7"/>
        <v>4118799</v>
      </c>
      <c r="P471" s="7">
        <v>12644929</v>
      </c>
      <c r="Q471" s="7">
        <v>1128471</v>
      </c>
      <c r="R471" s="7">
        <v>13773400</v>
      </c>
      <c r="S471" s="9">
        <v>1.1650831739575443E-2</v>
      </c>
      <c r="T471" s="10"/>
    </row>
    <row r="472" spans="1:20" customFormat="1">
      <c r="A472" s="12" t="s">
        <v>237</v>
      </c>
      <c r="B472" t="s">
        <v>834</v>
      </c>
      <c r="C472" t="s">
        <v>158</v>
      </c>
      <c r="D472" t="s">
        <v>126</v>
      </c>
      <c r="E472" t="s">
        <v>152</v>
      </c>
      <c r="F472" s="4"/>
      <c r="G472" s="7">
        <v>19660696</v>
      </c>
      <c r="H472" s="7">
        <v>19320097</v>
      </c>
      <c r="I472" s="8"/>
      <c r="J472" s="7">
        <v>4636395</v>
      </c>
      <c r="K472" s="7">
        <v>13670175</v>
      </c>
      <c r="L472" s="7">
        <v>1013527</v>
      </c>
      <c r="M472" s="7">
        <v>14683702</v>
      </c>
      <c r="N472" s="8"/>
      <c r="O472" s="7">
        <f t="shared" si="7"/>
        <v>4414543</v>
      </c>
      <c r="P472" s="7">
        <v>13735141</v>
      </c>
      <c r="Q472" s="7">
        <v>1170413</v>
      </c>
      <c r="R472" s="7">
        <v>14905554</v>
      </c>
      <c r="S472" s="9">
        <v>1.1482965121758964E-2</v>
      </c>
      <c r="T472" s="10"/>
    </row>
    <row r="473" spans="1:20" customFormat="1">
      <c r="A473" s="12" t="s">
        <v>108</v>
      </c>
      <c r="B473" t="s">
        <v>835</v>
      </c>
      <c r="C473" t="s">
        <v>155</v>
      </c>
      <c r="D473" t="s">
        <v>128</v>
      </c>
      <c r="E473" t="s">
        <v>151</v>
      </c>
      <c r="F473" s="4"/>
      <c r="G473" s="7">
        <v>14667890</v>
      </c>
      <c r="H473" s="7">
        <v>14586313</v>
      </c>
      <c r="I473" s="8"/>
      <c r="J473" s="7">
        <v>3694299</v>
      </c>
      <c r="K473" s="7">
        <v>10137825</v>
      </c>
      <c r="L473" s="7">
        <v>754189</v>
      </c>
      <c r="M473" s="7">
        <v>10892014</v>
      </c>
      <c r="N473" s="8"/>
      <c r="O473" s="7">
        <f t="shared" si="7"/>
        <v>3517478</v>
      </c>
      <c r="P473" s="7">
        <v>10196772</v>
      </c>
      <c r="Q473" s="7">
        <v>872063</v>
      </c>
      <c r="R473" s="7">
        <v>11068835</v>
      </c>
      <c r="S473" s="9">
        <v>1.2122391724351452E-2</v>
      </c>
      <c r="T473" s="10"/>
    </row>
    <row r="474" spans="1:20" customFormat="1">
      <c r="A474" s="12" t="s">
        <v>360</v>
      </c>
      <c r="B474" t="s">
        <v>836</v>
      </c>
      <c r="C474" t="s">
        <v>123</v>
      </c>
      <c r="D474" t="s">
        <v>128</v>
      </c>
      <c r="E474" t="s">
        <v>151</v>
      </c>
      <c r="F474" s="4"/>
      <c r="G474" s="7">
        <v>16136306</v>
      </c>
      <c r="H474" s="7">
        <v>15848450</v>
      </c>
      <c r="I474" s="8"/>
      <c r="J474" s="7">
        <v>3879037</v>
      </c>
      <c r="K474" s="7">
        <v>11156834</v>
      </c>
      <c r="L474" s="7">
        <v>812579</v>
      </c>
      <c r="M474" s="7">
        <v>11969413</v>
      </c>
      <c r="N474" s="8"/>
      <c r="O474" s="7">
        <f t="shared" si="7"/>
        <v>3692725</v>
      </c>
      <c r="P474" s="7">
        <v>11215596</v>
      </c>
      <c r="Q474" s="7">
        <v>940129</v>
      </c>
      <c r="R474" s="7">
        <v>12155725</v>
      </c>
      <c r="S474" s="9">
        <v>1.1755849941161439E-2</v>
      </c>
      <c r="T474" s="10"/>
    </row>
    <row r="475" spans="1:20" customFormat="1">
      <c r="A475" s="12" t="s">
        <v>355</v>
      </c>
      <c r="B475" t="s">
        <v>841</v>
      </c>
      <c r="C475" t="s">
        <v>123</v>
      </c>
      <c r="D475" t="s">
        <v>128</v>
      </c>
      <c r="E475" t="s">
        <v>152</v>
      </c>
      <c r="F475" s="4"/>
      <c r="G475" s="7">
        <v>19607286</v>
      </c>
      <c r="H475" s="7">
        <v>19260072</v>
      </c>
      <c r="I475" s="8"/>
      <c r="J475" s="7">
        <v>4752545</v>
      </c>
      <c r="K475" s="7">
        <v>13511243</v>
      </c>
      <c r="L475" s="7">
        <v>996284</v>
      </c>
      <c r="M475" s="7">
        <v>14507527</v>
      </c>
      <c r="N475" s="8"/>
      <c r="O475" s="7">
        <f t="shared" si="7"/>
        <v>4516732</v>
      </c>
      <c r="P475" s="7">
        <v>13585684</v>
      </c>
      <c r="Q475" s="7">
        <v>1157656</v>
      </c>
      <c r="R475" s="7">
        <v>14743340</v>
      </c>
      <c r="S475" s="9">
        <v>1.2243619857703543E-2</v>
      </c>
      <c r="T475" s="10"/>
    </row>
    <row r="476" spans="1:20" customFormat="1">
      <c r="A476" s="12" t="s">
        <v>105</v>
      </c>
      <c r="B476" t="s">
        <v>844</v>
      </c>
      <c r="C476" t="s">
        <v>155</v>
      </c>
      <c r="D476" t="s">
        <v>128</v>
      </c>
      <c r="E476" t="s">
        <v>151</v>
      </c>
      <c r="F476" s="4"/>
      <c r="G476" s="7">
        <v>8188664</v>
      </c>
      <c r="H476" s="7">
        <v>8158500</v>
      </c>
      <c r="I476" s="8"/>
      <c r="J476" s="7">
        <v>2007076</v>
      </c>
      <c r="K476" s="7">
        <v>5716223</v>
      </c>
      <c r="L476" s="7">
        <v>435201</v>
      </c>
      <c r="M476" s="7">
        <v>6151424</v>
      </c>
      <c r="N476" s="8"/>
      <c r="O476" s="7">
        <f t="shared" si="7"/>
        <v>1908351</v>
      </c>
      <c r="P476" s="7">
        <v>5747954</v>
      </c>
      <c r="Q476" s="7">
        <v>502195</v>
      </c>
      <c r="R476" s="7">
        <v>6250149</v>
      </c>
      <c r="S476" s="9">
        <v>1.2100876386590673E-2</v>
      </c>
      <c r="T476" s="10"/>
    </row>
    <row r="477" spans="1:20" customFormat="1">
      <c r="A477" s="12" t="s">
        <v>93</v>
      </c>
      <c r="B477" t="s">
        <v>845</v>
      </c>
      <c r="C477" t="s">
        <v>155</v>
      </c>
      <c r="D477" t="s">
        <v>128</v>
      </c>
      <c r="E477" t="s">
        <v>152</v>
      </c>
      <c r="F477" s="4"/>
      <c r="G477" s="7">
        <v>17892902</v>
      </c>
      <c r="H477" s="7">
        <v>17818715</v>
      </c>
      <c r="I477" s="8"/>
      <c r="J477" s="7">
        <v>5125211</v>
      </c>
      <c r="K477" s="7">
        <v>11833750</v>
      </c>
      <c r="L477" s="7">
        <v>859754</v>
      </c>
      <c r="M477" s="7">
        <v>12693504</v>
      </c>
      <c r="N477" s="8"/>
      <c r="O477" s="7">
        <f t="shared" si="7"/>
        <v>4913785</v>
      </c>
      <c r="P477" s="7">
        <v>11906693</v>
      </c>
      <c r="Q477" s="7">
        <v>998237</v>
      </c>
      <c r="R477" s="7">
        <v>12904930</v>
      </c>
      <c r="S477" s="9">
        <v>1.1865389844329404E-2</v>
      </c>
      <c r="T477" s="10"/>
    </row>
    <row r="478" spans="1:20" customFormat="1">
      <c r="A478" s="12" t="s">
        <v>503</v>
      </c>
      <c r="B478" t="s">
        <v>846</v>
      </c>
      <c r="C478" t="s">
        <v>156</v>
      </c>
      <c r="D478" t="s">
        <v>128</v>
      </c>
      <c r="E478" t="s">
        <v>152</v>
      </c>
      <c r="F478" s="4"/>
      <c r="G478" s="7">
        <v>32924030</v>
      </c>
      <c r="H478" s="7">
        <v>32400349</v>
      </c>
      <c r="I478" s="8"/>
      <c r="J478" s="7">
        <v>7374380</v>
      </c>
      <c r="K478" s="7">
        <v>23284041</v>
      </c>
      <c r="L478" s="7">
        <v>1741928</v>
      </c>
      <c r="M478" s="7">
        <v>25025969</v>
      </c>
      <c r="N478" s="8"/>
      <c r="O478" s="7">
        <f t="shared" si="7"/>
        <v>6966449</v>
      </c>
      <c r="P478" s="7">
        <v>23422490</v>
      </c>
      <c r="Q478" s="7">
        <v>2011410</v>
      </c>
      <c r="R478" s="7">
        <v>25433900</v>
      </c>
      <c r="S478" s="9">
        <v>1.2590327344930759E-2</v>
      </c>
      <c r="T478" s="10"/>
    </row>
    <row r="479" spans="1:20" customFormat="1">
      <c r="A479" s="12" t="s">
        <v>415</v>
      </c>
      <c r="B479" t="s">
        <v>848</v>
      </c>
      <c r="C479" t="s">
        <v>156</v>
      </c>
      <c r="D479" t="s">
        <v>128</v>
      </c>
      <c r="E479" t="s">
        <v>151</v>
      </c>
      <c r="F479" s="4"/>
      <c r="G479" s="7">
        <v>17510800</v>
      </c>
      <c r="H479" s="7">
        <v>17225129</v>
      </c>
      <c r="I479" s="8"/>
      <c r="J479" s="7">
        <v>3775852</v>
      </c>
      <c r="K479" s="7">
        <v>12528425</v>
      </c>
      <c r="L479" s="7">
        <v>920852</v>
      </c>
      <c r="M479" s="7">
        <v>13449277</v>
      </c>
      <c r="N479" s="8"/>
      <c r="O479" s="7">
        <f t="shared" si="7"/>
        <v>3565025</v>
      </c>
      <c r="P479" s="7">
        <v>12598982</v>
      </c>
      <c r="Q479" s="7">
        <v>1061122</v>
      </c>
      <c r="R479" s="7">
        <v>13660104</v>
      </c>
      <c r="S479" s="9">
        <v>1.2239501950899758E-2</v>
      </c>
      <c r="T479" s="10"/>
    </row>
    <row r="480" spans="1:20" customFormat="1">
      <c r="A480" s="12" t="s">
        <v>351</v>
      </c>
      <c r="B480" t="s">
        <v>849</v>
      </c>
      <c r="C480" t="s">
        <v>123</v>
      </c>
      <c r="D480" t="s">
        <v>128</v>
      </c>
      <c r="E480" t="s">
        <v>152</v>
      </c>
      <c r="F480" s="4"/>
      <c r="G480" s="7">
        <v>24790336</v>
      </c>
      <c r="H480" s="7">
        <v>24451710</v>
      </c>
      <c r="I480" s="8"/>
      <c r="J480" s="7">
        <v>6464993</v>
      </c>
      <c r="K480" s="7">
        <v>16660283</v>
      </c>
      <c r="L480" s="7">
        <v>1326434</v>
      </c>
      <c r="M480" s="7">
        <v>17986717</v>
      </c>
      <c r="N480" s="8"/>
      <c r="O480" s="7">
        <f t="shared" si="7"/>
        <v>6188366</v>
      </c>
      <c r="P480" s="7">
        <v>16750336</v>
      </c>
      <c r="Q480" s="7">
        <v>1513008</v>
      </c>
      <c r="R480" s="7">
        <v>18263344</v>
      </c>
      <c r="S480" s="9">
        <v>1.1313196500367459E-2</v>
      </c>
      <c r="T480" s="10"/>
    </row>
    <row r="481" spans="1:20" customFormat="1">
      <c r="A481" s="12" t="s">
        <v>159</v>
      </c>
      <c r="B481" t="s">
        <v>850</v>
      </c>
      <c r="C481" t="s">
        <v>157</v>
      </c>
      <c r="D481" t="s">
        <v>128</v>
      </c>
      <c r="E481" t="s">
        <v>151</v>
      </c>
      <c r="F481" s="4"/>
      <c r="G481" s="7">
        <v>11344434</v>
      </c>
      <c r="H481" s="7">
        <v>11174702</v>
      </c>
      <c r="I481" s="8"/>
      <c r="J481" s="7">
        <v>2612696</v>
      </c>
      <c r="K481" s="7">
        <v>7982753</v>
      </c>
      <c r="L481" s="7">
        <v>579253</v>
      </c>
      <c r="M481" s="7">
        <v>8562006</v>
      </c>
      <c r="N481" s="8"/>
      <c r="O481" s="7">
        <f t="shared" si="7"/>
        <v>2483541</v>
      </c>
      <c r="P481" s="7">
        <v>8022991</v>
      </c>
      <c r="Q481" s="7">
        <v>668170</v>
      </c>
      <c r="R481" s="7">
        <v>8691161</v>
      </c>
      <c r="S481" s="9">
        <v>1.1557802615228575E-2</v>
      </c>
      <c r="T481" s="10"/>
    </row>
    <row r="482" spans="1:20" customFormat="1">
      <c r="A482" s="12" t="s">
        <v>469</v>
      </c>
      <c r="B482" t="s">
        <v>851</v>
      </c>
      <c r="C482" t="s">
        <v>157</v>
      </c>
      <c r="D482" t="s">
        <v>128</v>
      </c>
      <c r="E482" t="s">
        <v>152</v>
      </c>
      <c r="F482" s="4"/>
      <c r="G482" s="7">
        <v>22316686</v>
      </c>
      <c r="H482" s="7">
        <v>21941636</v>
      </c>
      <c r="I482" s="8"/>
      <c r="J482" s="7">
        <v>5319852</v>
      </c>
      <c r="K482" s="7">
        <v>15400596</v>
      </c>
      <c r="L482" s="7">
        <v>1221188</v>
      </c>
      <c r="M482" s="7">
        <v>16621784</v>
      </c>
      <c r="N482" s="8"/>
      <c r="O482" s="7">
        <f t="shared" si="7"/>
        <v>5067042</v>
      </c>
      <c r="P482" s="7">
        <v>15485144</v>
      </c>
      <c r="Q482" s="7">
        <v>1389450</v>
      </c>
      <c r="R482" s="7">
        <v>16874594</v>
      </c>
      <c r="S482" s="9">
        <v>1.1521930269921531E-2</v>
      </c>
      <c r="T482" s="10"/>
    </row>
    <row r="483" spans="1:20" customFormat="1">
      <c r="A483" s="12" t="s">
        <v>29</v>
      </c>
      <c r="B483" t="s">
        <v>852</v>
      </c>
      <c r="C483" t="s">
        <v>157</v>
      </c>
      <c r="D483" t="s">
        <v>126</v>
      </c>
      <c r="E483" t="s">
        <v>152</v>
      </c>
      <c r="F483" s="4"/>
      <c r="G483" s="7">
        <v>19235452</v>
      </c>
      <c r="H483" s="7">
        <v>19163074</v>
      </c>
      <c r="I483" s="8"/>
      <c r="J483" s="7">
        <v>4713560</v>
      </c>
      <c r="K483" s="7">
        <v>13425051</v>
      </c>
      <c r="L483" s="7">
        <v>1024463</v>
      </c>
      <c r="M483" s="7">
        <v>14449514</v>
      </c>
      <c r="N483" s="8"/>
      <c r="O483" s="7">
        <f t="shared" si="7"/>
        <v>4490564</v>
      </c>
      <c r="P483" s="7">
        <v>13498837</v>
      </c>
      <c r="Q483" s="7">
        <v>1173673</v>
      </c>
      <c r="R483" s="7">
        <v>14672510</v>
      </c>
      <c r="S483" s="9">
        <v>1.1636755146903884E-2</v>
      </c>
      <c r="T483" s="10"/>
    </row>
    <row r="484" spans="1:20" customFormat="1">
      <c r="A484" s="12" t="s">
        <v>277</v>
      </c>
      <c r="B484" t="s">
        <v>853</v>
      </c>
      <c r="C484" t="s">
        <v>122</v>
      </c>
      <c r="D484" t="s">
        <v>128</v>
      </c>
      <c r="E484" t="s">
        <v>152</v>
      </c>
      <c r="F484" s="4"/>
      <c r="G484" s="7">
        <v>16684960</v>
      </c>
      <c r="H484" s="7">
        <v>16632587</v>
      </c>
      <c r="I484" s="8"/>
      <c r="J484" s="7">
        <v>4050646</v>
      </c>
      <c r="K484" s="7">
        <v>11700176</v>
      </c>
      <c r="L484" s="7">
        <v>881765</v>
      </c>
      <c r="M484" s="7">
        <v>12581941</v>
      </c>
      <c r="N484" s="8"/>
      <c r="O484" s="7">
        <f t="shared" si="7"/>
        <v>3859771</v>
      </c>
      <c r="P484" s="7">
        <v>11759970</v>
      </c>
      <c r="Q484" s="7">
        <v>1012846</v>
      </c>
      <c r="R484" s="7">
        <v>12772816</v>
      </c>
      <c r="S484" s="9">
        <v>1.1475965825400463E-2</v>
      </c>
      <c r="T484" s="10"/>
    </row>
    <row r="485" spans="1:20" customFormat="1">
      <c r="A485" s="12" t="s">
        <v>59</v>
      </c>
      <c r="B485" t="s">
        <v>854</v>
      </c>
      <c r="C485" t="s">
        <v>158</v>
      </c>
      <c r="D485" t="s">
        <v>126</v>
      </c>
      <c r="E485" t="s">
        <v>152</v>
      </c>
      <c r="F485" s="4"/>
      <c r="G485" s="7">
        <v>17814422</v>
      </c>
      <c r="H485" s="7">
        <v>17471597</v>
      </c>
      <c r="I485" s="8"/>
      <c r="J485" s="7">
        <v>4101666</v>
      </c>
      <c r="K485" s="7">
        <v>12506715</v>
      </c>
      <c r="L485" s="7">
        <v>863216</v>
      </c>
      <c r="M485" s="7">
        <v>13369931</v>
      </c>
      <c r="N485" s="8"/>
      <c r="O485" s="7">
        <f t="shared" si="7"/>
        <v>3902309</v>
      </c>
      <c r="P485" s="7">
        <v>12559969</v>
      </c>
      <c r="Q485" s="7">
        <v>1009319</v>
      </c>
      <c r="R485" s="7">
        <v>13569288</v>
      </c>
      <c r="S485" s="9">
        <v>1.1410347892067336E-2</v>
      </c>
      <c r="T485" s="10"/>
    </row>
    <row r="486" spans="1:20" customFormat="1">
      <c r="A486" s="12" t="s">
        <v>111</v>
      </c>
      <c r="B486" t="s">
        <v>858</v>
      </c>
      <c r="C486" t="s">
        <v>155</v>
      </c>
      <c r="D486" t="s">
        <v>128</v>
      </c>
      <c r="E486" t="s">
        <v>152</v>
      </c>
      <c r="F486" s="4"/>
      <c r="G486" s="7">
        <v>21225756</v>
      </c>
      <c r="H486" s="7">
        <v>21087594</v>
      </c>
      <c r="I486" s="8"/>
      <c r="J486" s="7">
        <v>5401218</v>
      </c>
      <c r="K486" s="7">
        <v>14597489</v>
      </c>
      <c r="L486" s="7">
        <v>1088887</v>
      </c>
      <c r="M486" s="7">
        <v>15686376</v>
      </c>
      <c r="N486" s="8"/>
      <c r="O486" s="7">
        <f t="shared" si="7"/>
        <v>5155586</v>
      </c>
      <c r="P486" s="7">
        <v>14672175</v>
      </c>
      <c r="Q486" s="7">
        <v>1259833</v>
      </c>
      <c r="R486" s="7">
        <v>15932008</v>
      </c>
      <c r="S486" s="9">
        <v>1.1648175699892552E-2</v>
      </c>
      <c r="T486" s="10"/>
    </row>
    <row r="487" spans="1:20" customFormat="1">
      <c r="A487" s="12" t="s">
        <v>94</v>
      </c>
      <c r="B487" t="s">
        <v>859</v>
      </c>
      <c r="C487" t="s">
        <v>155</v>
      </c>
      <c r="D487" t="s">
        <v>128</v>
      </c>
      <c r="E487" t="s">
        <v>152</v>
      </c>
      <c r="F487" s="4"/>
      <c r="G487" s="7">
        <v>23747826</v>
      </c>
      <c r="H487" s="7">
        <v>23177389</v>
      </c>
      <c r="I487" s="8"/>
      <c r="J487" s="7">
        <v>6327392</v>
      </c>
      <c r="K487" s="7">
        <v>15727530</v>
      </c>
      <c r="L487" s="7">
        <v>1122467</v>
      </c>
      <c r="M487" s="7">
        <v>16849997</v>
      </c>
      <c r="N487" s="8"/>
      <c r="O487" s="7">
        <f t="shared" si="7"/>
        <v>6063197</v>
      </c>
      <c r="P487" s="7">
        <v>15804559</v>
      </c>
      <c r="Q487" s="7">
        <v>1309633</v>
      </c>
      <c r="R487" s="7">
        <v>17114192</v>
      </c>
      <c r="S487" s="9">
        <v>1.1398824949609294E-2</v>
      </c>
      <c r="T487" s="10"/>
    </row>
    <row r="488" spans="1:20" customFormat="1">
      <c r="A488" s="12" t="s">
        <v>31</v>
      </c>
      <c r="B488" t="s">
        <v>922</v>
      </c>
      <c r="C488" t="s">
        <v>157</v>
      </c>
      <c r="D488" t="s">
        <v>126</v>
      </c>
      <c r="E488" t="s">
        <v>152</v>
      </c>
      <c r="F488" s="4"/>
      <c r="G488" s="7">
        <v>20423044</v>
      </c>
      <c r="H488" s="7">
        <v>20353000</v>
      </c>
      <c r="I488" s="8"/>
      <c r="J488" s="7">
        <v>4654254</v>
      </c>
      <c r="K488" s="7">
        <v>14694495</v>
      </c>
      <c r="L488" s="7">
        <v>1004251</v>
      </c>
      <c r="M488" s="7">
        <v>15698746</v>
      </c>
      <c r="N488" s="8"/>
      <c r="O488" s="7">
        <f t="shared" si="7"/>
        <v>4411547</v>
      </c>
      <c r="P488" s="7">
        <v>14768021</v>
      </c>
      <c r="Q488" s="7">
        <v>1173432</v>
      </c>
      <c r="R488" s="7">
        <v>15941453</v>
      </c>
      <c r="S488" s="9">
        <v>1.1924875939664915E-2</v>
      </c>
      <c r="T488" s="10"/>
    </row>
    <row r="489" spans="1:20" customFormat="1">
      <c r="A489" s="12" t="s">
        <v>239</v>
      </c>
      <c r="B489" t="s">
        <v>923</v>
      </c>
      <c r="C489" t="s">
        <v>158</v>
      </c>
      <c r="D489" t="s">
        <v>126</v>
      </c>
      <c r="E489" t="s">
        <v>152</v>
      </c>
      <c r="F489" s="4"/>
      <c r="G489" s="7">
        <v>16980546</v>
      </c>
      <c r="H489" s="7">
        <v>16697867</v>
      </c>
      <c r="I489" s="8"/>
      <c r="J489" s="7">
        <v>3931001</v>
      </c>
      <c r="K489" s="7">
        <v>11898937</v>
      </c>
      <c r="L489" s="7">
        <v>867929</v>
      </c>
      <c r="M489" s="7">
        <v>12766866</v>
      </c>
      <c r="N489" s="8"/>
      <c r="O489" s="7">
        <f t="shared" si="7"/>
        <v>3729833</v>
      </c>
      <c r="P489" s="7">
        <v>11969988</v>
      </c>
      <c r="Q489" s="7">
        <v>998046</v>
      </c>
      <c r="R489" s="7">
        <v>12968034</v>
      </c>
      <c r="S489" s="9">
        <v>1.2047526788900642E-2</v>
      </c>
      <c r="T489" s="10"/>
    </row>
    <row r="490" spans="1:20" customFormat="1">
      <c r="A490" s="12" t="s">
        <v>446</v>
      </c>
      <c r="B490" t="s">
        <v>860</v>
      </c>
      <c r="C490" t="s">
        <v>156</v>
      </c>
      <c r="D490" t="s">
        <v>128</v>
      </c>
      <c r="E490" t="s">
        <v>152</v>
      </c>
      <c r="F490" s="4"/>
      <c r="G490" s="7">
        <v>39717934</v>
      </c>
      <c r="H490" s="7">
        <v>39489137</v>
      </c>
      <c r="I490" s="8"/>
      <c r="J490" s="7">
        <v>9334939</v>
      </c>
      <c r="K490" s="7">
        <v>28047164</v>
      </c>
      <c r="L490" s="7">
        <v>2107034</v>
      </c>
      <c r="M490" s="7">
        <v>30154198</v>
      </c>
      <c r="N490" s="8"/>
      <c r="O490" s="7">
        <f t="shared" si="7"/>
        <v>8883289</v>
      </c>
      <c r="P490" s="7">
        <v>28192691</v>
      </c>
      <c r="Q490" s="7">
        <v>2413157</v>
      </c>
      <c r="R490" s="7">
        <v>30605848</v>
      </c>
      <c r="S490" s="9">
        <v>1.1437322623687624E-2</v>
      </c>
      <c r="T490" s="10"/>
    </row>
    <row r="491" spans="1:20" customFormat="1">
      <c r="A491" s="12" t="s">
        <v>258</v>
      </c>
      <c r="B491" t="s">
        <v>863</v>
      </c>
      <c r="C491" t="s">
        <v>158</v>
      </c>
      <c r="D491" t="s">
        <v>127</v>
      </c>
      <c r="E491" t="s">
        <v>152</v>
      </c>
      <c r="F491" s="4"/>
      <c r="G491" s="7">
        <v>20166984</v>
      </c>
      <c r="H491" s="7">
        <v>20062814</v>
      </c>
      <c r="I491" s="8"/>
      <c r="J491" s="7">
        <v>5142550</v>
      </c>
      <c r="K491" s="7">
        <v>13873311</v>
      </c>
      <c r="L491" s="7">
        <v>1046953</v>
      </c>
      <c r="M491" s="7">
        <v>14920264</v>
      </c>
      <c r="N491" s="8"/>
      <c r="O491" s="7">
        <f t="shared" si="7"/>
        <v>4902486</v>
      </c>
      <c r="P491" s="7">
        <v>13954926</v>
      </c>
      <c r="Q491" s="7">
        <v>1205402</v>
      </c>
      <c r="R491" s="7">
        <v>15160328</v>
      </c>
      <c r="S491" s="9">
        <v>1.1965619578589524E-2</v>
      </c>
      <c r="T491" s="10"/>
    </row>
    <row r="492" spans="1:20" customFormat="1">
      <c r="A492" s="12" t="s">
        <v>498</v>
      </c>
      <c r="B492" t="s">
        <v>864</v>
      </c>
      <c r="C492" t="s">
        <v>156</v>
      </c>
      <c r="D492" t="s">
        <v>128</v>
      </c>
      <c r="E492" t="s">
        <v>152</v>
      </c>
      <c r="F492" s="4"/>
      <c r="G492" s="7">
        <v>20103584</v>
      </c>
      <c r="H492" s="7">
        <v>19948138</v>
      </c>
      <c r="I492" s="8"/>
      <c r="J492" s="7">
        <v>5093078</v>
      </c>
      <c r="K492" s="7">
        <v>13762626</v>
      </c>
      <c r="L492" s="7">
        <v>1092434</v>
      </c>
      <c r="M492" s="7">
        <v>14855060</v>
      </c>
      <c r="N492" s="8"/>
      <c r="O492" s="7">
        <f t="shared" si="7"/>
        <v>4872229</v>
      </c>
      <c r="P492" s="7">
        <v>13838922</v>
      </c>
      <c r="Q492" s="7">
        <v>1236987</v>
      </c>
      <c r="R492" s="7">
        <v>15075909</v>
      </c>
      <c r="S492" s="9">
        <v>1.1071158621421207E-2</v>
      </c>
      <c r="T492" s="10"/>
    </row>
    <row r="493" spans="1:20" customFormat="1">
      <c r="A493" s="12" t="s">
        <v>28</v>
      </c>
      <c r="B493" t="s">
        <v>924</v>
      </c>
      <c r="C493" t="s">
        <v>157</v>
      </c>
      <c r="D493" t="s">
        <v>126</v>
      </c>
      <c r="E493" t="s">
        <v>152</v>
      </c>
      <c r="F493" s="4"/>
      <c r="G493" s="7">
        <v>23509072</v>
      </c>
      <c r="H493" s="7">
        <v>23404879</v>
      </c>
      <c r="I493" s="8"/>
      <c r="J493" s="7">
        <v>5726532</v>
      </c>
      <c r="K493" s="7">
        <v>16428627</v>
      </c>
      <c r="L493" s="7">
        <v>1249720</v>
      </c>
      <c r="M493" s="7">
        <v>17678347</v>
      </c>
      <c r="N493" s="8"/>
      <c r="O493" s="7">
        <f t="shared" si="7"/>
        <v>5443830</v>
      </c>
      <c r="P493" s="7">
        <v>16517313</v>
      </c>
      <c r="Q493" s="7">
        <v>1443736</v>
      </c>
      <c r="R493" s="7">
        <v>17961049</v>
      </c>
      <c r="S493" s="9">
        <v>1.2078763577457503E-2</v>
      </c>
      <c r="T493" s="10"/>
    </row>
    <row r="494" spans="1:20" customFormat="1">
      <c r="A494" s="12" t="s">
        <v>474</v>
      </c>
      <c r="B494" s="12" t="s">
        <v>868</v>
      </c>
      <c r="C494" t="s">
        <v>157</v>
      </c>
      <c r="D494" t="s">
        <v>128</v>
      </c>
      <c r="E494" t="s">
        <v>152</v>
      </c>
      <c r="F494" s="4"/>
      <c r="G494" s="7">
        <v>24709252</v>
      </c>
      <c r="H494" s="7">
        <v>24341370</v>
      </c>
      <c r="I494" s="8"/>
      <c r="J494" s="7">
        <v>6006539</v>
      </c>
      <c r="K494" s="7">
        <v>17023445</v>
      </c>
      <c r="L494" s="7">
        <v>1311386</v>
      </c>
      <c r="M494" s="7">
        <v>18334831</v>
      </c>
      <c r="N494" s="8"/>
      <c r="O494" s="7">
        <f t="shared" si="7"/>
        <v>5709691</v>
      </c>
      <c r="P494" s="7">
        <v>17120349</v>
      </c>
      <c r="Q494" s="7">
        <v>1511330</v>
      </c>
      <c r="R494" s="7">
        <v>18631679</v>
      </c>
      <c r="S494" s="9">
        <v>1.2195205117871344E-2</v>
      </c>
      <c r="T494" s="10"/>
    </row>
    <row r="495" spans="1:20" customFormat="1">
      <c r="A495" s="12" t="s">
        <v>280</v>
      </c>
      <c r="B495" t="s">
        <v>899</v>
      </c>
      <c r="C495" t="s">
        <v>122</v>
      </c>
      <c r="D495" t="s">
        <v>126</v>
      </c>
      <c r="E495" t="s">
        <v>152</v>
      </c>
      <c r="F495" s="4"/>
      <c r="G495" s="7">
        <v>25685590</v>
      </c>
      <c r="H495" s="7">
        <v>25584761</v>
      </c>
      <c r="I495" s="8"/>
      <c r="J495" s="7">
        <v>6495891</v>
      </c>
      <c r="K495" s="7">
        <v>17724833</v>
      </c>
      <c r="L495" s="7">
        <v>1364037</v>
      </c>
      <c r="M495" s="7">
        <v>19088870</v>
      </c>
      <c r="N495" s="8"/>
      <c r="O495" s="7">
        <f t="shared" si="7"/>
        <v>6223087</v>
      </c>
      <c r="P495" s="7">
        <v>17806817</v>
      </c>
      <c r="Q495" s="7">
        <v>1554857</v>
      </c>
      <c r="R495" s="7">
        <v>19361674</v>
      </c>
      <c r="S495" s="9">
        <v>1.0662753503931501E-2</v>
      </c>
      <c r="T495" s="10"/>
    </row>
    <row r="496" spans="1:20" customFormat="1">
      <c r="A496" s="12" t="s">
        <v>438</v>
      </c>
      <c r="B496" t="s">
        <v>878</v>
      </c>
      <c r="C496" t="s">
        <v>156</v>
      </c>
      <c r="D496" t="s">
        <v>128</v>
      </c>
      <c r="E496" t="s">
        <v>152</v>
      </c>
      <c r="F496" s="4"/>
      <c r="G496" s="7">
        <v>24226692</v>
      </c>
      <c r="H496" s="7">
        <v>24152002</v>
      </c>
      <c r="I496" s="8"/>
      <c r="J496" s="7">
        <v>5214312</v>
      </c>
      <c r="K496" s="7">
        <v>17606817</v>
      </c>
      <c r="L496" s="7">
        <v>1330873</v>
      </c>
      <c r="M496" s="7">
        <v>18937690</v>
      </c>
      <c r="N496" s="8"/>
      <c r="O496" s="7">
        <f t="shared" si="7"/>
        <v>4933112</v>
      </c>
      <c r="P496" s="7">
        <v>17693304</v>
      </c>
      <c r="Q496" s="7">
        <v>1525586</v>
      </c>
      <c r="R496" s="7">
        <v>19218890</v>
      </c>
      <c r="S496" s="9">
        <v>1.1642927157756942E-2</v>
      </c>
      <c r="T496" s="10"/>
    </row>
    <row r="497" spans="1:20" customFormat="1">
      <c r="A497" s="12" t="s">
        <v>329</v>
      </c>
      <c r="B497" t="s">
        <v>885</v>
      </c>
      <c r="C497" t="s">
        <v>123</v>
      </c>
      <c r="D497" t="s">
        <v>128</v>
      </c>
      <c r="E497" t="s">
        <v>151</v>
      </c>
      <c r="F497" s="4"/>
      <c r="G497" s="7">
        <v>9657608</v>
      </c>
      <c r="H497" s="7">
        <v>9439218</v>
      </c>
      <c r="I497" s="8"/>
      <c r="J497" s="7">
        <v>2351957</v>
      </c>
      <c r="K497" s="7">
        <v>6598193</v>
      </c>
      <c r="L497" s="7">
        <v>489068</v>
      </c>
      <c r="M497" s="7">
        <v>7087261</v>
      </c>
      <c r="N497" s="8"/>
      <c r="O497" s="7">
        <f t="shared" si="7"/>
        <v>2241522</v>
      </c>
      <c r="P497" s="7">
        <v>6635113</v>
      </c>
      <c r="Q497" s="7">
        <v>562583</v>
      </c>
      <c r="R497" s="7">
        <v>7197696</v>
      </c>
      <c r="S497" s="9">
        <v>1.1699592063664596E-2</v>
      </c>
      <c r="T497" s="10"/>
    </row>
    <row r="498" spans="1:20" customFormat="1">
      <c r="A498" s="12" t="s">
        <v>225</v>
      </c>
      <c r="B498" t="s">
        <v>889</v>
      </c>
      <c r="C498" t="s">
        <v>123</v>
      </c>
      <c r="D498" t="s">
        <v>128</v>
      </c>
      <c r="E498" t="s">
        <v>152</v>
      </c>
      <c r="F498" s="4"/>
      <c r="G498" s="7">
        <v>27905224</v>
      </c>
      <c r="H498" s="7">
        <v>27382140</v>
      </c>
      <c r="I498" s="8"/>
      <c r="J498" s="7">
        <v>6404522</v>
      </c>
      <c r="K498" s="7">
        <v>19499105</v>
      </c>
      <c r="L498" s="7">
        <v>1478513</v>
      </c>
      <c r="M498" s="7">
        <v>20977618</v>
      </c>
      <c r="N498" s="8"/>
      <c r="O498" s="7">
        <f t="shared" si="7"/>
        <v>6080449</v>
      </c>
      <c r="P498" s="7">
        <v>19594237</v>
      </c>
      <c r="Q498" s="7">
        <v>1707454</v>
      </c>
      <c r="R498" s="7">
        <v>21301691</v>
      </c>
      <c r="S498" s="9">
        <v>1.1835196226445414E-2</v>
      </c>
      <c r="T498" s="10"/>
    </row>
    <row r="499" spans="1:20" customFormat="1">
      <c r="A499" s="12" t="s">
        <v>290</v>
      </c>
      <c r="B499" t="s">
        <v>890</v>
      </c>
      <c r="C499" t="s">
        <v>122</v>
      </c>
      <c r="D499" t="s">
        <v>128</v>
      </c>
      <c r="E499" t="s">
        <v>152</v>
      </c>
      <c r="F499" s="4"/>
      <c r="G499" s="7">
        <v>28369512</v>
      </c>
      <c r="H499" s="7">
        <v>27928587</v>
      </c>
      <c r="I499" s="8"/>
      <c r="J499" s="7">
        <v>7948444</v>
      </c>
      <c r="K499" s="7">
        <v>18567501</v>
      </c>
      <c r="L499" s="7">
        <v>1412642</v>
      </c>
      <c r="M499" s="7">
        <v>19980143</v>
      </c>
      <c r="N499" s="8"/>
      <c r="O499" s="7">
        <f t="shared" si="7"/>
        <v>7633812</v>
      </c>
      <c r="P499" s="7">
        <v>18668977</v>
      </c>
      <c r="Q499" s="7">
        <v>1625798</v>
      </c>
      <c r="R499" s="7">
        <v>20294775</v>
      </c>
      <c r="S499" s="9">
        <v>1.1265589626857957E-2</v>
      </c>
      <c r="T499" s="10"/>
    </row>
    <row r="500" spans="1:20" customFormat="1">
      <c r="A500" s="12" t="s">
        <v>428</v>
      </c>
      <c r="B500" t="s">
        <v>891</v>
      </c>
      <c r="C500" t="s">
        <v>156</v>
      </c>
      <c r="D500" t="s">
        <v>128</v>
      </c>
      <c r="E500" t="s">
        <v>152</v>
      </c>
      <c r="F500" s="4"/>
      <c r="G500" s="7">
        <v>43317500</v>
      </c>
      <c r="H500" s="7">
        <v>43108566</v>
      </c>
      <c r="I500" s="8"/>
      <c r="J500" s="7">
        <v>10231587</v>
      </c>
      <c r="K500" s="7">
        <v>30406467</v>
      </c>
      <c r="L500" s="7">
        <v>2470512</v>
      </c>
      <c r="M500" s="7">
        <v>32876979</v>
      </c>
      <c r="N500" s="8"/>
      <c r="O500" s="7">
        <f t="shared" si="7"/>
        <v>9714484</v>
      </c>
      <c r="P500" s="7">
        <v>30582814</v>
      </c>
      <c r="Q500" s="7">
        <v>2811268</v>
      </c>
      <c r="R500" s="7">
        <v>33394082</v>
      </c>
      <c r="S500" s="9">
        <v>1.1995365375874483E-2</v>
      </c>
      <c r="T500" s="10"/>
    </row>
    <row r="501" spans="1:20" customFormat="1">
      <c r="A501" s="12" t="s">
        <v>499</v>
      </c>
      <c r="B501" t="s">
        <v>892</v>
      </c>
      <c r="C501" t="s">
        <v>157</v>
      </c>
      <c r="D501" t="s">
        <v>128</v>
      </c>
      <c r="E501" t="s">
        <v>151</v>
      </c>
      <c r="F501" s="4"/>
      <c r="G501" s="7">
        <v>11800266</v>
      </c>
      <c r="H501" s="7">
        <v>11756311</v>
      </c>
      <c r="I501" s="8"/>
      <c r="J501" s="7">
        <v>2915689</v>
      </c>
      <c r="K501" s="7">
        <v>8207316</v>
      </c>
      <c r="L501" s="7">
        <v>633306</v>
      </c>
      <c r="M501" s="7">
        <v>8840622</v>
      </c>
      <c r="N501" s="8"/>
      <c r="O501" s="7">
        <f t="shared" si="7"/>
        <v>2777708</v>
      </c>
      <c r="P501" s="7">
        <v>8251876</v>
      </c>
      <c r="Q501" s="7">
        <v>726727</v>
      </c>
      <c r="R501" s="7">
        <v>8978603</v>
      </c>
      <c r="S501" s="9">
        <v>1.1736759941107375E-2</v>
      </c>
      <c r="T501" s="10"/>
    </row>
    <row r="502" spans="1:20" customFormat="1">
      <c r="A502" s="12" t="s">
        <v>443</v>
      </c>
      <c r="B502" t="s">
        <v>893</v>
      </c>
      <c r="C502" t="s">
        <v>156</v>
      </c>
      <c r="D502" t="s">
        <v>128</v>
      </c>
      <c r="E502" t="s">
        <v>152</v>
      </c>
      <c r="F502" s="4"/>
      <c r="G502" s="7">
        <v>22905440</v>
      </c>
      <c r="H502" s="7">
        <v>22491898</v>
      </c>
      <c r="I502" s="8"/>
      <c r="J502" s="7">
        <v>5301220</v>
      </c>
      <c r="K502" s="7">
        <v>15899236</v>
      </c>
      <c r="L502" s="7">
        <v>1291442</v>
      </c>
      <c r="M502" s="7">
        <v>17190678</v>
      </c>
      <c r="N502" s="8"/>
      <c r="O502" s="7">
        <f t="shared" si="7"/>
        <v>5018615</v>
      </c>
      <c r="P502" s="7">
        <v>16001158</v>
      </c>
      <c r="Q502" s="7">
        <v>1472125</v>
      </c>
      <c r="R502" s="7">
        <v>17473283</v>
      </c>
      <c r="S502" s="9">
        <v>1.2564746647881828E-2</v>
      </c>
      <c r="T502" s="10"/>
    </row>
    <row r="503" spans="1:20" customFormat="1">
      <c r="A503" s="12" t="s">
        <v>500</v>
      </c>
      <c r="B503" t="s">
        <v>894</v>
      </c>
      <c r="C503" t="s">
        <v>157</v>
      </c>
      <c r="D503" t="s">
        <v>128</v>
      </c>
      <c r="E503" t="s">
        <v>152</v>
      </c>
      <c r="F503" s="4"/>
      <c r="G503" s="7">
        <v>18411860</v>
      </c>
      <c r="H503" s="7">
        <v>18347425</v>
      </c>
      <c r="I503" s="8"/>
      <c r="J503" s="7">
        <v>4419165</v>
      </c>
      <c r="K503" s="7">
        <v>12837975</v>
      </c>
      <c r="L503" s="7">
        <v>1090285</v>
      </c>
      <c r="M503" s="7">
        <v>13928260</v>
      </c>
      <c r="N503" s="8"/>
      <c r="O503" s="7">
        <f t="shared" si="7"/>
        <v>4197804</v>
      </c>
      <c r="P503" s="7">
        <v>12912714</v>
      </c>
      <c r="Q503" s="7">
        <v>1236907</v>
      </c>
      <c r="R503" s="7">
        <v>14149621</v>
      </c>
      <c r="S503" s="9">
        <v>1.2064962794506586E-2</v>
      </c>
      <c r="T503" s="10"/>
    </row>
    <row r="504" spans="1:20" customFormat="1">
      <c r="A504" s="12" t="s">
        <v>425</v>
      </c>
      <c r="B504" t="s">
        <v>895</v>
      </c>
      <c r="C504" t="s">
        <v>156</v>
      </c>
      <c r="D504" t="s">
        <v>128</v>
      </c>
      <c r="E504" t="s">
        <v>152</v>
      </c>
      <c r="F504" s="4"/>
      <c r="G504" s="7">
        <v>40187372</v>
      </c>
      <c r="H504" s="7">
        <v>39291666</v>
      </c>
      <c r="I504" s="8"/>
      <c r="J504" s="7">
        <v>8781080</v>
      </c>
      <c r="K504" s="7">
        <v>28404579</v>
      </c>
      <c r="L504" s="7">
        <v>2106007</v>
      </c>
      <c r="M504" s="7">
        <v>30510586</v>
      </c>
      <c r="N504" s="8"/>
      <c r="O504" s="7">
        <f t="shared" si="7"/>
        <v>8305742</v>
      </c>
      <c r="P504" s="7">
        <v>28566342</v>
      </c>
      <c r="Q504" s="7">
        <v>2419582</v>
      </c>
      <c r="R504" s="7">
        <v>30985924</v>
      </c>
      <c r="S504" s="9">
        <v>1.2097679950755969E-2</v>
      </c>
      <c r="T504" s="10"/>
    </row>
    <row r="505" spans="1:20" customFormat="1">
      <c r="A505" s="12" t="s">
        <v>501</v>
      </c>
      <c r="B505" t="s">
        <v>896</v>
      </c>
      <c r="C505" t="s">
        <v>156</v>
      </c>
      <c r="D505" t="s">
        <v>128</v>
      </c>
      <c r="E505" t="s">
        <v>152</v>
      </c>
      <c r="F505" s="4"/>
      <c r="G505" s="7">
        <v>34661122</v>
      </c>
      <c r="H505" s="7">
        <v>34174440</v>
      </c>
      <c r="I505" s="8"/>
      <c r="J505" s="7">
        <v>7818431</v>
      </c>
      <c r="K505" s="7">
        <v>24506406</v>
      </c>
      <c r="L505" s="7">
        <v>1849603</v>
      </c>
      <c r="M505" s="7">
        <v>26356009</v>
      </c>
      <c r="N505" s="8"/>
      <c r="O505" s="7">
        <f t="shared" si="7"/>
        <v>7387973</v>
      </c>
      <c r="P505" s="7">
        <v>24661107</v>
      </c>
      <c r="Q505" s="7">
        <v>2125360</v>
      </c>
      <c r="R505" s="7">
        <v>26786467</v>
      </c>
      <c r="S505" s="9">
        <v>1.2595905009709011E-2</v>
      </c>
      <c r="T505" s="10"/>
    </row>
    <row r="506" spans="1:20" customFormat="1">
      <c r="A506" s="12" t="s">
        <v>502</v>
      </c>
      <c r="B506" t="s">
        <v>897</v>
      </c>
      <c r="C506" t="s">
        <v>158</v>
      </c>
      <c r="D506" t="s">
        <v>126</v>
      </c>
      <c r="E506" t="s">
        <v>151</v>
      </c>
      <c r="F506" s="4"/>
      <c r="G506" s="7">
        <v>16050986</v>
      </c>
      <c r="H506" s="7">
        <v>15985679</v>
      </c>
      <c r="I506" s="8"/>
      <c r="J506" s="7">
        <v>3878321</v>
      </c>
      <c r="K506" s="7">
        <v>11233577</v>
      </c>
      <c r="L506" s="7">
        <v>873781</v>
      </c>
      <c r="M506" s="7">
        <v>12107358</v>
      </c>
      <c r="N506" s="8"/>
      <c r="O506" s="7">
        <f t="shared" si="7"/>
        <v>3688125</v>
      </c>
      <c r="P506" s="7">
        <v>11296508</v>
      </c>
      <c r="Q506" s="7">
        <v>1001046</v>
      </c>
      <c r="R506" s="7">
        <v>12297554</v>
      </c>
      <c r="S506" s="9">
        <v>1.1897899363549087E-2</v>
      </c>
      <c r="T506" s="10"/>
    </row>
  </sheetData>
  <mergeCells count="1">
    <mergeCell ref="A2:S2"/>
  </mergeCells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_x0003_MSU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Candice Hansey</dc:creator>
  <cp:lastModifiedBy>Candice Hirsch</cp:lastModifiedBy>
  <dcterms:created xsi:type="dcterms:W3CDTF">2013-02-06T13:50:23Z</dcterms:created>
  <dcterms:modified xsi:type="dcterms:W3CDTF">2014-01-08T03:01:35Z</dcterms:modified>
</cp:coreProperties>
</file>